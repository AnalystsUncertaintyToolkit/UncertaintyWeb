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worksheets/sheet3.xml" ContentType="application/vnd.openxmlformats-officedocument.spreadsheetml.worksheet+xml"/>
  <Override PartName="/xl/worksheets/sheet2.xml" ContentType="application/vnd.openxmlformats-officedocument.spreadsheetml.worksheet+xml"/>
  <Override PartName="/xl/vbaProject.bin" ContentType="application/vnd.ms-office.vbaProject"/>
  <Override PartName="/xl/charts/colors3.xml" ContentType="application/vnd.ms-office.chartcolorstyle+xml"/>
  <Override PartName="/xl/charts/style3.xml" ContentType="application/vnd.ms-office.chartstyle+xml"/>
  <Override PartName="/xl/charts/chart3.xml" ContentType="application/vnd.openxmlformats-officedocument.drawingml.chart+xml"/>
  <Override PartName="/xl/drawings/drawing4.xml" ContentType="application/vnd.openxmlformats-officedocument.drawing+xml"/>
  <Override PartName="/xl/worksheets/sheet1.xml" ContentType="application/vnd.openxmlformats-officedocument.spreadsheetml.workshee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sheets/sheet8.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charts/chart2.xml" ContentType="application/vnd.openxmlformats-officedocument.drawingml.chart+xml"/>
  <Override PartName="/xl/drawings/drawing2.xml" ContentType="application/vnd.openxmlformats-officedocument.drawing+xml"/>
  <Override PartName="/xl/charts/chart1.xml" ContentType="application/vnd.openxmlformats-officedocument.drawingml.chart+xml"/>
  <Override PartName="/xl/charts/colors1.xml" ContentType="application/vnd.ms-office.chartcolorstyle+xml"/>
  <Override PartName="/xl/charts/style1.xml" ContentType="application/vnd.ms-office.chartstyle+xml"/>
  <Override PartName="/xl/calcChain.xml" ContentType="application/vnd.openxmlformats-officedocument.spreadsheetml.calcChain+xml"/>
  <Override PartName="/xl/connections.xml" ContentType="application/vnd.openxmlformats-officedocument.spreadsheetml.connections+xml"/>
  <Override PartName="/docProps/core.xml" ContentType="application/vnd.openxmlformats-package.core-properties+xml"/>
  <Override PartName="/xl/comments1.xml" ContentType="application/vnd.openxmlformats-officedocument.spreadsheetml.comments+xml"/>
  <Override PartName="/docProps/custom.xml" ContentType="application/vnd.openxmlformats-officedocument.custom-properties+xml"/>
  <Override PartName="/docProps/app.xml" ContentType="application/vnd.openxmlformats-officedocument.extended-properties+xml"/>
  <Override PartName="/xl/comments2.xml" ContentType="application/vnd.openxmlformats-officedocument.spreadsheetml.comment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updateLinks="never" codeName="ThisWorkbook"/>
  <mc:AlternateContent xmlns:mc="http://schemas.openxmlformats.org/markup-compatibility/2006">
    <mc:Choice Requires="x15">
      <x15ac:absPath xmlns:x15ac="http://schemas.microsoft.com/office/spreadsheetml/2010/11/ac" url="G:\NW-GIR-FIN\FF and WIP\ModellingTeam\Andrew's Projects\Uncertainty\"/>
    </mc:Choice>
  </mc:AlternateContent>
  <bookViews>
    <workbookView xWindow="0" yWindow="0" windowWidth="23040" windowHeight="8484" tabRatio="679"/>
  </bookViews>
  <sheets>
    <sheet name="Controls" sheetId="71" r:id="rId1"/>
    <sheet name="Register" sheetId="64" r:id="rId2"/>
    <sheet name="Inputs" sheetId="15" r:id="rId3"/>
    <sheet name="Calculations" sheetId="67" r:id="rId4"/>
    <sheet name="LAA-ExtraInfo" sheetId="22" state="hidden" r:id="rId5"/>
    <sheet name="Current Run" sheetId="68" r:id="rId6"/>
    <sheet name="Outputs" sheetId="69" r:id="rId7"/>
    <sheet name="Model Output" sheetId="2" r:id="rId8"/>
  </sheets>
  <definedNames>
    <definedName name="_AMO_RefreshMultipleList" hidden="1">"'&lt;Items&gt;_x000D_
  &lt;Item Id=""976262840"" Checked=""False"" /&gt;_x000D_
  &lt;Item Id=""136329254"" Checked=""False"" /&gt;_x000D_
  &lt;Item Id=""116612749"" Checked=""False"" /&gt;_x000D_
&lt;/Items&gt;'"</definedName>
    <definedName name="_AMO_SingleObject_139077205_PivotTable_139077205" localSheetId="3" hidden="1">#REF!</definedName>
    <definedName name="_AMO_SingleObject_139077205_PivotTable_139077205" localSheetId="5" hidden="1">#REF!</definedName>
    <definedName name="_AMO_SingleObject_139077205_PivotTable_139077205" localSheetId="4" hidden="1">#REF!</definedName>
    <definedName name="_AMO_SingleObject_139077205_PivotTable_139077205" localSheetId="6" hidden="1">#REF!</definedName>
    <definedName name="_AMO_SingleObject_139077205_PivotTable_139077205" hidden="1">#REF!</definedName>
    <definedName name="_AMO_UniqueIdentifier" localSheetId="4" hidden="1">"'b693a5e8-89be-4fa9-be09-f0ad3014ba5e'"</definedName>
    <definedName name="_AMO_UniqueIdentifier" hidden="1">"'bdb31226-edaf-4022-8043-b604483a70ce'"</definedName>
    <definedName name="_AMO_XmlVersion" hidden="1">"'1'"</definedName>
    <definedName name="_xlnm._FilterDatabase" localSheetId="3" hidden="1">Calculations!$A$8:$DL$9</definedName>
    <definedName name="_xlnm._FilterDatabase" localSheetId="4" hidden="1">'LAA-ExtraInfo'!$A$9:$Q$68</definedName>
    <definedName name="_xlnm._FilterDatabase" localSheetId="1" hidden="1">Register!$A$1:$AJ$6</definedName>
    <definedName name="Grid_Certainty">Inputs!$G$6:$G$12</definedName>
    <definedName name="Likelihood">Inputs!$B$8:$B$12</definedName>
    <definedName name="P_NoOfRuns">Inputs!$C$4</definedName>
    <definedName name="PlusMinus">Inputs!$C$4</definedName>
    <definedName name="_xlnm.Print_Area" localSheetId="4">'LAA-ExtraInfo'!$A$1:$AS$65</definedName>
    <definedName name="Probability">Inputs!$C$8:$C$12</definedName>
    <definedName name="ProbMax">Inputs!$E$8:$E$12</definedName>
    <definedName name="ProbMin">Inputs!$D$8:$D$12</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N15" i="67" l="1"/>
  <c r="AM15" i="67"/>
  <c r="AS15" i="67" s="1"/>
  <c r="AI15" i="67"/>
  <c r="AH15" i="67"/>
  <c r="BM15" i="67" s="1"/>
  <c r="AG15" i="67"/>
  <c r="AF15" i="67"/>
  <c r="AE15" i="67"/>
  <c r="AD15" i="67"/>
  <c r="AO15" i="67" s="1"/>
  <c r="AU15" i="67" s="1"/>
  <c r="AC15" i="67"/>
  <c r="AB15" i="67"/>
  <c r="AA15" i="67"/>
  <c r="Z15" i="67"/>
  <c r="Y15" i="67"/>
  <c r="BZ15" i="67" s="1"/>
  <c r="X15" i="67"/>
  <c r="CL15" i="67" s="1"/>
  <c r="W15" i="67"/>
  <c r="V15" i="67"/>
  <c r="U15" i="67"/>
  <c r="T15" i="67"/>
  <c r="S15" i="67"/>
  <c r="BS15" i="67" s="1"/>
  <c r="R15" i="67"/>
  <c r="Q15" i="67"/>
  <c r="P15" i="67"/>
  <c r="BX15" i="67" s="1"/>
  <c r="O15" i="67"/>
  <c r="N15" i="67"/>
  <c r="M15" i="67"/>
  <c r="L15" i="67"/>
  <c r="K15" i="67"/>
  <c r="J15" i="67"/>
  <c r="BW15" i="67" s="1"/>
  <c r="I15" i="67"/>
  <c r="H15" i="67"/>
  <c r="G15" i="67"/>
  <c r="F15" i="67"/>
  <c r="E15" i="67"/>
  <c r="BV15" i="67" s="1"/>
  <c r="D15" i="67"/>
  <c r="C15" i="67"/>
  <c r="AM14" i="67"/>
  <c r="AS14" i="67" s="1"/>
  <c r="AI14" i="67"/>
  <c r="BK14" i="67" s="1"/>
  <c r="AH14" i="67"/>
  <c r="AG14" i="67"/>
  <c r="AF14" i="67"/>
  <c r="AE14" i="67"/>
  <c r="AD14" i="67"/>
  <c r="AP14" i="67" s="1"/>
  <c r="AV14" i="67" s="1"/>
  <c r="AC14" i="67"/>
  <c r="AB14" i="67"/>
  <c r="AA14" i="67"/>
  <c r="Z14" i="67"/>
  <c r="Y14" i="67"/>
  <c r="X14" i="67"/>
  <c r="CL14" i="67" s="1"/>
  <c r="W14" i="67"/>
  <c r="V14" i="67"/>
  <c r="U14" i="67"/>
  <c r="T14" i="67"/>
  <c r="S14" i="67"/>
  <c r="CQ14" i="67" s="1"/>
  <c r="R14" i="67"/>
  <c r="Q14" i="67"/>
  <c r="P14" i="67"/>
  <c r="O14" i="67"/>
  <c r="N14" i="67"/>
  <c r="CP14" i="67" s="1"/>
  <c r="M14" i="67"/>
  <c r="L14" i="67"/>
  <c r="K14" i="67"/>
  <c r="J14" i="67"/>
  <c r="I14" i="67"/>
  <c r="H14" i="67"/>
  <c r="G14" i="67"/>
  <c r="F14" i="67"/>
  <c r="E14" i="67"/>
  <c r="D14" i="67"/>
  <c r="CH14" i="67" s="1"/>
  <c r="C14" i="67"/>
  <c r="BL13" i="67"/>
  <c r="AI13" i="67"/>
  <c r="AH13" i="67"/>
  <c r="AG13" i="67"/>
  <c r="AF13" i="67"/>
  <c r="AE13" i="67"/>
  <c r="AD13" i="67"/>
  <c r="AN13" i="67" s="1"/>
  <c r="AT13" i="67" s="1"/>
  <c r="AC13" i="67"/>
  <c r="AB13" i="67"/>
  <c r="AA13" i="67"/>
  <c r="Z13" i="67"/>
  <c r="Y13" i="67"/>
  <c r="X13" i="67"/>
  <c r="CR13" i="67" s="1"/>
  <c r="W13" i="67"/>
  <c r="V13" i="67"/>
  <c r="U13" i="67"/>
  <c r="T13" i="67"/>
  <c r="S13" i="67"/>
  <c r="CQ13" i="67" s="1"/>
  <c r="R13" i="67"/>
  <c r="Q13" i="67"/>
  <c r="P13" i="67"/>
  <c r="O13" i="67"/>
  <c r="N13" i="67"/>
  <c r="M13" i="67"/>
  <c r="L13" i="67"/>
  <c r="K13" i="67"/>
  <c r="J13" i="67"/>
  <c r="I13" i="67"/>
  <c r="CI13" i="67" s="1"/>
  <c r="H13" i="67"/>
  <c r="G13" i="67"/>
  <c r="F13" i="67"/>
  <c r="E13" i="67"/>
  <c r="D13" i="67"/>
  <c r="CN13" i="67" s="1"/>
  <c r="C13" i="67"/>
  <c r="AI12" i="67"/>
  <c r="AH12" i="67"/>
  <c r="AG12" i="67"/>
  <c r="AF12" i="67"/>
  <c r="AE12" i="67"/>
  <c r="AD12" i="67"/>
  <c r="AN12" i="67" s="1"/>
  <c r="AT12" i="67" s="1"/>
  <c r="AC12" i="67"/>
  <c r="AB12" i="67"/>
  <c r="AA12" i="67"/>
  <c r="Z12" i="67"/>
  <c r="CF12" i="67" s="1"/>
  <c r="Y12" i="67"/>
  <c r="X12" i="67"/>
  <c r="CR12" i="67" s="1"/>
  <c r="W12" i="67"/>
  <c r="V12" i="67"/>
  <c r="U12" i="67"/>
  <c r="T12" i="67"/>
  <c r="S12" i="67"/>
  <c r="R12" i="67"/>
  <c r="Q12" i="67"/>
  <c r="P12" i="67"/>
  <c r="O12" i="67"/>
  <c r="N12" i="67"/>
  <c r="CJ12" i="67" s="1"/>
  <c r="M12" i="67"/>
  <c r="L12" i="67"/>
  <c r="K12" i="67"/>
  <c r="J12" i="67"/>
  <c r="I12" i="67"/>
  <c r="CO12" i="67" s="1"/>
  <c r="H12" i="67"/>
  <c r="G12" i="67"/>
  <c r="F12" i="67"/>
  <c r="E12" i="67"/>
  <c r="D12" i="67"/>
  <c r="CN12" i="67" s="1"/>
  <c r="C12" i="67"/>
  <c r="CQ11" i="67"/>
  <c r="BJ11" i="67"/>
  <c r="AM11" i="67"/>
  <c r="AS11" i="67" s="1"/>
  <c r="AL11" i="67"/>
  <c r="AR11" i="67" s="1"/>
  <c r="AX11" i="67" s="1"/>
  <c r="AI11" i="67"/>
  <c r="BN11" i="67" s="1"/>
  <c r="AH11" i="67"/>
  <c r="AG11" i="67"/>
  <c r="AF11" i="67"/>
  <c r="AE11" i="67"/>
  <c r="AD11" i="67"/>
  <c r="AO11" i="67" s="1"/>
  <c r="AU11" i="67" s="1"/>
  <c r="AC11" i="67"/>
  <c r="AB11" i="67"/>
  <c r="AA11" i="67"/>
  <c r="Z11" i="67"/>
  <c r="Y11" i="67"/>
  <c r="BZ11" i="67" s="1"/>
  <c r="X11" i="67"/>
  <c r="W11" i="67"/>
  <c r="V11" i="67"/>
  <c r="U11" i="67"/>
  <c r="T11" i="67"/>
  <c r="S11" i="67"/>
  <c r="CK11" i="67" s="1"/>
  <c r="R11" i="67"/>
  <c r="Q11" i="67"/>
  <c r="P11" i="67"/>
  <c r="O11" i="67"/>
  <c r="N11" i="67"/>
  <c r="CP11" i="67" s="1"/>
  <c r="M11" i="67"/>
  <c r="L11" i="67"/>
  <c r="K11" i="67"/>
  <c r="J11" i="67"/>
  <c r="I11" i="67"/>
  <c r="H11" i="67"/>
  <c r="G11" i="67"/>
  <c r="F11" i="67"/>
  <c r="E11" i="67"/>
  <c r="BV11" i="67" s="1"/>
  <c r="D11" i="67"/>
  <c r="C11" i="67"/>
  <c r="CN10" i="67"/>
  <c r="AI10" i="67"/>
  <c r="AH10" i="67"/>
  <c r="AG10" i="67"/>
  <c r="AF10" i="67"/>
  <c r="AE10" i="67"/>
  <c r="AD10" i="67"/>
  <c r="AN10" i="67" s="1"/>
  <c r="AT10" i="67" s="1"/>
  <c r="AC10" i="67"/>
  <c r="AB10" i="67"/>
  <c r="AA10" i="67"/>
  <c r="Z10" i="67"/>
  <c r="Y10" i="67"/>
  <c r="X10" i="67"/>
  <c r="BT10" i="67" s="1"/>
  <c r="W10" i="67"/>
  <c r="V10" i="67"/>
  <c r="U10" i="67"/>
  <c r="T10" i="67"/>
  <c r="S10" i="67"/>
  <c r="R10" i="67"/>
  <c r="Q10" i="67"/>
  <c r="P10" i="67"/>
  <c r="O10" i="67"/>
  <c r="N10" i="67"/>
  <c r="CJ10" i="67" s="1"/>
  <c r="M10" i="67"/>
  <c r="L10" i="67"/>
  <c r="CI10" i="67" s="1"/>
  <c r="K10" i="67"/>
  <c r="J10" i="67"/>
  <c r="CC10" i="67" s="1"/>
  <c r="I10" i="67"/>
  <c r="BQ10" i="67" s="1"/>
  <c r="H10" i="67"/>
  <c r="G10" i="67"/>
  <c r="F10" i="67"/>
  <c r="E10" i="67"/>
  <c r="D10" i="67"/>
  <c r="C10" i="67"/>
  <c r="CH10" i="67" l="1"/>
  <c r="CK10" i="67"/>
  <c r="CO10" i="67"/>
  <c r="BW11" i="67"/>
  <c r="BM11" i="67"/>
  <c r="AP11" i="67"/>
  <c r="AV11" i="67" s="1"/>
  <c r="BK11" i="67"/>
  <c r="CK12" i="67"/>
  <c r="CP12" i="67"/>
  <c r="BQ13" i="67"/>
  <c r="CI14" i="67"/>
  <c r="CR14" i="67"/>
  <c r="CQ15" i="67"/>
  <c r="CW15" i="67" s="1"/>
  <c r="AP15" i="67"/>
  <c r="AV15" i="67" s="1"/>
  <c r="AP12" i="67"/>
  <c r="AV12" i="67" s="1"/>
  <c r="CO13" i="67"/>
  <c r="BN14" i="67"/>
  <c r="CF14" i="67" s="1"/>
  <c r="CX14" i="67" s="1"/>
  <c r="BP14" i="67"/>
  <c r="CK15" i="67"/>
  <c r="BJ15" i="67"/>
  <c r="CN15" i="67" s="1"/>
  <c r="CT15" i="67" s="1"/>
  <c r="CC15" i="67"/>
  <c r="CN14" i="67"/>
  <c r="AO10" i="67"/>
  <c r="AU10" i="67" s="1"/>
  <c r="AL12" i="67"/>
  <c r="AR12" i="67" s="1"/>
  <c r="AX12" i="67" s="1"/>
  <c r="BR12" i="67"/>
  <c r="CD11" i="67"/>
  <c r="BY11" i="67"/>
  <c r="BS11" i="67"/>
  <c r="AO12" i="67"/>
  <c r="AU12" i="67" s="1"/>
  <c r="CB12" i="67"/>
  <c r="BT14" i="67"/>
  <c r="BY15" i="67"/>
  <c r="AL15" i="67"/>
  <c r="AR15" i="67" s="1"/>
  <c r="AX15" i="67" s="1"/>
  <c r="BD15" i="67" s="1"/>
  <c r="BK15" i="67"/>
  <c r="CO15" i="67" s="1"/>
  <c r="CU15" i="67" s="1"/>
  <c r="CB11" i="67"/>
  <c r="CN11" i="67"/>
  <c r="CB10" i="67"/>
  <c r="AL10" i="67"/>
  <c r="AR10" i="67" s="1"/>
  <c r="AX10" i="67" s="1"/>
  <c r="BD10" i="67" s="1"/>
  <c r="BP10" i="67"/>
  <c r="BP11" i="67"/>
  <c r="CD13" i="67"/>
  <c r="CV13" i="67" s="1"/>
  <c r="CP13" i="67"/>
  <c r="BR13" i="67"/>
  <c r="AM13" i="67"/>
  <c r="AS13" i="67" s="1"/>
  <c r="AP13" i="67"/>
  <c r="AV13" i="67" s="1"/>
  <c r="AL13" i="67"/>
  <c r="AR13" i="67" s="1"/>
  <c r="AX13" i="67" s="1"/>
  <c r="AY13" i="67" s="1"/>
  <c r="AZ13" i="67" s="1"/>
  <c r="BA13" i="67" s="1"/>
  <c r="BB13" i="67" s="1"/>
  <c r="AO13" i="67"/>
  <c r="AU13" i="67" s="1"/>
  <c r="BK13" i="67"/>
  <c r="CC13" i="67" s="1"/>
  <c r="CU13" i="67" s="1"/>
  <c r="BN13" i="67"/>
  <c r="CF13" i="67" s="1"/>
  <c r="CX13" i="67" s="1"/>
  <c r="BJ13" i="67"/>
  <c r="BV13" i="67" s="1"/>
  <c r="BM13" i="67"/>
  <c r="CE13" i="67" s="1"/>
  <c r="CW13" i="67" s="1"/>
  <c r="CJ13" i="67"/>
  <c r="CF11" i="67"/>
  <c r="CR11" i="67"/>
  <c r="CE12" i="67"/>
  <c r="CQ12" i="67"/>
  <c r="BS12" i="67"/>
  <c r="CF10" i="67"/>
  <c r="AP10" i="67"/>
  <c r="AV10" i="67" s="1"/>
  <c r="BJ10" i="67"/>
  <c r="BJ12" i="67" s="1"/>
  <c r="BV12" i="67" s="1"/>
  <c r="CT12" i="67" s="1"/>
  <c r="CO11" i="67"/>
  <c r="BQ11" i="67"/>
  <c r="CU11" i="67" s="1"/>
  <c r="CI11" i="67"/>
  <c r="CT11" i="67"/>
  <c r="CW11" i="67"/>
  <c r="AM10" i="67"/>
  <c r="AS10" i="67" s="1"/>
  <c r="CD10" i="67"/>
  <c r="CQ10" i="67"/>
  <c r="CC11" i="67"/>
  <c r="BX11" i="67"/>
  <c r="CL11" i="67"/>
  <c r="CC14" i="67"/>
  <c r="CU14" i="67" s="1"/>
  <c r="CO14" i="67"/>
  <c r="BQ14" i="67"/>
  <c r="CP10" i="67"/>
  <c r="BR10" i="67"/>
  <c r="BS10" i="67"/>
  <c r="CE10" i="67"/>
  <c r="CL10" i="67"/>
  <c r="CR10" i="67"/>
  <c r="AY11" i="67"/>
  <c r="AZ11" i="67" s="1"/>
  <c r="BA11" i="67" s="1"/>
  <c r="BB11" i="67" s="1"/>
  <c r="BT11" i="67"/>
  <c r="CX11" i="67" s="1"/>
  <c r="CH11" i="67"/>
  <c r="CB15" i="67"/>
  <c r="BP15" i="67"/>
  <c r="CF15" i="67"/>
  <c r="CR15" i="67"/>
  <c r="CX15" i="67" s="1"/>
  <c r="BT15" i="67"/>
  <c r="CH15" i="67"/>
  <c r="CC12" i="67"/>
  <c r="CH12" i="67"/>
  <c r="CL12" i="67"/>
  <c r="CK13" i="67"/>
  <c r="AN14" i="67"/>
  <c r="AT14" i="67" s="1"/>
  <c r="BL14" i="67"/>
  <c r="CD14" i="67" s="1"/>
  <c r="CV14" i="67" s="1"/>
  <c r="CJ14" i="67"/>
  <c r="CD15" i="67"/>
  <c r="CI15" i="67"/>
  <c r="AN11" i="67"/>
  <c r="AT11" i="67" s="1"/>
  <c r="BL11" i="67"/>
  <c r="CE11" i="67"/>
  <c r="CJ11" i="67"/>
  <c r="AM12" i="67"/>
  <c r="AS12" i="67" s="1"/>
  <c r="BP12" i="67"/>
  <c r="BT12" i="67"/>
  <c r="CD12" i="67"/>
  <c r="CI12" i="67"/>
  <c r="BS13" i="67"/>
  <c r="CH13" i="67"/>
  <c r="CL13" i="67"/>
  <c r="AO14" i="67"/>
  <c r="AU14" i="67" s="1"/>
  <c r="BM14" i="67"/>
  <c r="CE14" i="67" s="1"/>
  <c r="CW14" i="67" s="1"/>
  <c r="BR14" i="67"/>
  <c r="CK14" i="67"/>
  <c r="AN15" i="67"/>
  <c r="AT15" i="67" s="1"/>
  <c r="BL15" i="67"/>
  <c r="CP15" i="67" s="1"/>
  <c r="CV15" i="67" s="1"/>
  <c r="BQ15" i="67"/>
  <c r="CE15" i="67"/>
  <c r="CJ15" i="67"/>
  <c r="BR11" i="67"/>
  <c r="CV11" i="67" s="1"/>
  <c r="BQ12" i="67"/>
  <c r="BP13" i="67"/>
  <c r="BT13" i="67"/>
  <c r="AL14" i="67"/>
  <c r="AR14" i="67" s="1"/>
  <c r="AX14" i="67" s="1"/>
  <c r="AY14" i="67" s="1"/>
  <c r="BJ14" i="67"/>
  <c r="CB14" i="67" s="1"/>
  <c r="CT14" i="67" s="1"/>
  <c r="BS14" i="67"/>
  <c r="BR15" i="67"/>
  <c r="AB9" i="67"/>
  <c r="W9" i="67"/>
  <c r="R9" i="67"/>
  <c r="M9" i="67"/>
  <c r="H9" i="67"/>
  <c r="AY12" i="67" l="1"/>
  <c r="AZ12" i="67" s="1"/>
  <c r="AY10" i="67"/>
  <c r="AZ10" i="67" s="1"/>
  <c r="BF10" i="67" s="1"/>
  <c r="AY15" i="67"/>
  <c r="BE15" i="67" s="1"/>
  <c r="DA15" i="67" s="1"/>
  <c r="BW13" i="67"/>
  <c r="BX13" i="67" s="1"/>
  <c r="BY13" i="67" s="1"/>
  <c r="BZ13" i="67" s="1"/>
  <c r="CB13" i="67"/>
  <c r="CT13" i="67" s="1"/>
  <c r="CZ15" i="67"/>
  <c r="AZ14" i="67"/>
  <c r="BE14" i="67"/>
  <c r="DA14" i="67" s="1"/>
  <c r="BH13" i="67"/>
  <c r="DD13" i="67" s="1"/>
  <c r="BV14" i="67"/>
  <c r="BW14" i="67" s="1"/>
  <c r="BX14" i="67" s="1"/>
  <c r="BY14" i="67" s="1"/>
  <c r="BZ14" i="67" s="1"/>
  <c r="BD11" i="67"/>
  <c r="CZ11" i="67" s="1"/>
  <c r="BD12" i="67"/>
  <c r="CZ12" i="67" s="1"/>
  <c r="BD14" i="67"/>
  <c r="CZ14" i="67" s="1"/>
  <c r="BD13" i="67"/>
  <c r="BK10" i="67"/>
  <c r="BG13" i="67"/>
  <c r="DC13" i="67" s="1"/>
  <c r="BE13" i="67"/>
  <c r="DA13" i="67" s="1"/>
  <c r="BF13" i="67"/>
  <c r="DB13" i="67" s="1"/>
  <c r="BV10" i="67"/>
  <c r="AA9" i="67"/>
  <c r="V9" i="67"/>
  <c r="Q9" i="67"/>
  <c r="L9" i="67"/>
  <c r="G9" i="67"/>
  <c r="BF11" i="67" l="1"/>
  <c r="DB11" i="67" s="1"/>
  <c r="BE10" i="67"/>
  <c r="AZ15" i="67"/>
  <c r="BF15" i="67" s="1"/>
  <c r="DB15" i="67" s="1"/>
  <c r="BA10" i="67"/>
  <c r="BB10" i="67" s="1"/>
  <c r="BE11" i="67"/>
  <c r="DA11" i="67" s="1"/>
  <c r="BE12" i="67"/>
  <c r="CZ13" i="67"/>
  <c r="BF12" i="67"/>
  <c r="BA12" i="67"/>
  <c r="BL10" i="67"/>
  <c r="BK12" i="67"/>
  <c r="BW12" i="67" s="1"/>
  <c r="BF14" i="67"/>
  <c r="DB14" i="67" s="1"/>
  <c r="BA14" i="67"/>
  <c r="CT10" i="67"/>
  <c r="CZ10" i="67" s="1"/>
  <c r="BW10" i="67"/>
  <c r="D18" i="68"/>
  <c r="E18" i="68" s="1"/>
  <c r="F18" i="68" s="1"/>
  <c r="G18" i="68" s="1"/>
  <c r="C12" i="15"/>
  <c r="C11" i="15"/>
  <c r="C10" i="15"/>
  <c r="C9" i="15"/>
  <c r="C8" i="15"/>
  <c r="C7" i="15"/>
  <c r="BA15" i="67" l="1"/>
  <c r="BB15" i="67" s="1"/>
  <c r="BH15" i="67" s="1"/>
  <c r="DD15" i="67" s="1"/>
  <c r="BG10" i="67"/>
  <c r="BG11" i="67"/>
  <c r="DC11" i="67" s="1"/>
  <c r="CU12" i="67"/>
  <c r="DA12" i="67" s="1"/>
  <c r="BH10" i="67"/>
  <c r="BH11" i="67"/>
  <c r="DD11" i="67" s="1"/>
  <c r="BG14" i="67"/>
  <c r="DC14" i="67" s="1"/>
  <c r="BB14" i="67"/>
  <c r="BH14" i="67" s="1"/>
  <c r="DD14" i="67" s="1"/>
  <c r="BM10" i="67"/>
  <c r="BL12" i="67"/>
  <c r="BX12" i="67" s="1"/>
  <c r="CU10" i="67"/>
  <c r="DA10" i="67" s="1"/>
  <c r="BX10" i="67"/>
  <c r="BG12" i="67"/>
  <c r="BB12" i="67"/>
  <c r="BH12" i="67" s="1"/>
  <c r="D9" i="67"/>
  <c r="CN9" i="67" s="1"/>
  <c r="Z9" i="67"/>
  <c r="Y9" i="67"/>
  <c r="X9" i="67"/>
  <c r="CR9" i="67" s="1"/>
  <c r="U9" i="67"/>
  <c r="T9" i="67"/>
  <c r="S9" i="67"/>
  <c r="CQ9" i="67" s="1"/>
  <c r="P9" i="67"/>
  <c r="O9" i="67"/>
  <c r="N9" i="67"/>
  <c r="CP9" i="67" s="1"/>
  <c r="K9" i="67"/>
  <c r="J9" i="67"/>
  <c r="I9" i="67"/>
  <c r="CO9" i="67" s="1"/>
  <c r="F9" i="67"/>
  <c r="E9" i="67"/>
  <c r="BG15" i="67" l="1"/>
  <c r="DC15" i="67" s="1"/>
  <c r="CV12" i="67"/>
  <c r="DB12" i="67" s="1"/>
  <c r="CV10" i="67"/>
  <c r="DB10" i="67" s="1"/>
  <c r="BY10" i="67"/>
  <c r="BM12" i="67"/>
  <c r="BY12" i="67" s="1"/>
  <c r="BN10" i="67"/>
  <c r="BN12" i="67" s="1"/>
  <c r="K6" i="69"/>
  <c r="L6" i="69"/>
  <c r="CW12" i="67" l="1"/>
  <c r="DC12" i="67" s="1"/>
  <c r="BZ12" i="67"/>
  <c r="CX12" i="67" s="1"/>
  <c r="DD12" i="67" s="1"/>
  <c r="BZ10" i="67"/>
  <c r="CX10" i="67" s="1"/>
  <c r="DD10" i="67" s="1"/>
  <c r="CW10" i="67"/>
  <c r="DC10" i="67" s="1"/>
  <c r="AI9" i="67"/>
  <c r="AH9" i="67"/>
  <c r="AG9" i="67"/>
  <c r="AF9" i="67"/>
  <c r="AE9" i="67"/>
  <c r="AD9" i="67"/>
  <c r="AC9" i="67"/>
  <c r="C9" i="67"/>
  <c r="BL9" i="67" l="1"/>
  <c r="CJ9" i="67" s="1"/>
  <c r="CV9" i="67" s="1"/>
  <c r="BJ9" i="67"/>
  <c r="CH9" i="67" s="1"/>
  <c r="CT9" i="67" s="1"/>
  <c r="BN9" i="67"/>
  <c r="BM9" i="67"/>
  <c r="CK9" i="67" s="1"/>
  <c r="CW9" i="67" s="1"/>
  <c r="CF9" i="67" l="1"/>
  <c r="CL9" i="67"/>
  <c r="CX9" i="67" s="1"/>
  <c r="O6" i="69"/>
  <c r="H11" i="2" s="1"/>
  <c r="N6" i="69"/>
  <c r="M6" i="69"/>
  <c r="O7" i="69"/>
  <c r="H12" i="2" s="1"/>
  <c r="N7" i="69"/>
  <c r="M7" i="69"/>
  <c r="K7" i="69"/>
  <c r="L7" i="69"/>
  <c r="H19" i="2" l="1"/>
  <c r="H16" i="2"/>
  <c r="H18" i="2"/>
  <c r="H17" i="2"/>
  <c r="H15" i="2"/>
  <c r="F12" i="2"/>
  <c r="E11" i="2"/>
  <c r="E12" i="2"/>
  <c r="G12" i="2"/>
  <c r="F11" i="2"/>
  <c r="G11" i="2"/>
  <c r="D12" i="2"/>
  <c r="D11" i="2"/>
  <c r="O5" i="69"/>
  <c r="N5" i="69"/>
  <c r="G10" i="2" s="1"/>
  <c r="M5" i="69"/>
  <c r="F10" i="2" s="1"/>
  <c r="L5" i="69"/>
  <c r="E10" i="2" s="1"/>
  <c r="K5" i="69"/>
  <c r="D10" i="2" s="1"/>
  <c r="H33" i="2" l="1"/>
  <c r="H25" i="2"/>
  <c r="H30" i="2"/>
  <c r="H22" i="2"/>
  <c r="H31" i="2"/>
  <c r="H23" i="2"/>
  <c r="H32" i="2"/>
  <c r="H24" i="2"/>
  <c r="H34" i="2"/>
  <c r="H26" i="2"/>
  <c r="DK8" i="67"/>
  <c r="DJ8" i="67"/>
  <c r="DI8" i="67"/>
  <c r="DH8" i="67"/>
  <c r="DG8" i="67"/>
  <c r="AV8" i="67" l="1"/>
  <c r="BB8" i="67" s="1"/>
  <c r="BH8" i="67" s="1"/>
  <c r="BN8" i="67" s="1"/>
  <c r="BT8" i="67" s="1"/>
  <c r="BZ8" i="67" s="1"/>
  <c r="CF8" i="67" s="1"/>
  <c r="CL8" i="67" s="1"/>
  <c r="CR8" i="67" s="1"/>
  <c r="AU8" i="67"/>
  <c r="BA8" i="67" s="1"/>
  <c r="BG8" i="67" s="1"/>
  <c r="BM8" i="67" s="1"/>
  <c r="BS8" i="67" s="1"/>
  <c r="BY8" i="67" s="1"/>
  <c r="CE8" i="67" s="1"/>
  <c r="CK8" i="67" s="1"/>
  <c r="CQ8" i="67" s="1"/>
  <c r="AT8" i="67"/>
  <c r="AZ8" i="67" s="1"/>
  <c r="BF8" i="67" s="1"/>
  <c r="BL8" i="67" s="1"/>
  <c r="BR8" i="67" s="1"/>
  <c r="BX8" i="67" s="1"/>
  <c r="CD8" i="67" s="1"/>
  <c r="CJ8" i="67" s="1"/>
  <c r="CP8" i="67" s="1"/>
  <c r="AS8" i="67"/>
  <c r="AY8" i="67" s="1"/>
  <c r="BE8" i="67" s="1"/>
  <c r="BK8" i="67" s="1"/>
  <c r="BQ8" i="67" s="1"/>
  <c r="BW8" i="67" s="1"/>
  <c r="CC8" i="67" s="1"/>
  <c r="CI8" i="67" s="1"/>
  <c r="CO8" i="67" s="1"/>
  <c r="AR8" i="67"/>
  <c r="AX8" i="67" s="1"/>
  <c r="BD8" i="67" s="1"/>
  <c r="BJ8" i="67" s="1"/>
  <c r="BP8" i="67" s="1"/>
  <c r="BV8" i="67" s="1"/>
  <c r="CB8" i="67" s="1"/>
  <c r="CH8" i="67" s="1"/>
  <c r="CN8" i="67" s="1"/>
  <c r="BQ9" i="67" l="1"/>
  <c r="BT9" i="67" l="1"/>
  <c r="BR9" i="67"/>
  <c r="CD9" i="67"/>
  <c r="BP9" i="67"/>
  <c r="CB9" i="67"/>
  <c r="BS9" i="67"/>
  <c r="CE9" i="67"/>
  <c r="BV9" i="67"/>
  <c r="BK9" i="67"/>
  <c r="CC9" i="67" l="1"/>
  <c r="CI9" i="67"/>
  <c r="CU9" i="67" s="1"/>
  <c r="BW9" i="67"/>
  <c r="BX9" i="67" s="1"/>
  <c r="BY9" i="67" s="1"/>
  <c r="BZ9" i="67" s="1"/>
  <c r="AN9" i="67"/>
  <c r="AT9" i="67" s="1"/>
  <c r="AL9" i="67"/>
  <c r="AR9" i="67" s="1"/>
  <c r="AX9" i="67" s="1"/>
  <c r="BD9" i="67" s="1"/>
  <c r="AO9" i="67"/>
  <c r="AU9" i="67" s="1"/>
  <c r="AM9" i="67"/>
  <c r="AS9" i="67" s="1"/>
  <c r="AP9" i="67"/>
  <c r="AV9" i="67" s="1"/>
  <c r="CZ9" i="67" l="1"/>
  <c r="AY9" i="67"/>
  <c r="BE9" i="67" s="1"/>
  <c r="AV52" i="22"/>
  <c r="AT52" i="22"/>
  <c r="AS52" i="22"/>
  <c r="AQ52" i="22"/>
  <c r="AP52" i="22"/>
  <c r="AN52" i="22"/>
  <c r="AM52" i="22"/>
  <c r="AK52" i="22"/>
  <c r="AJ52" i="22"/>
  <c r="AH52" i="22"/>
  <c r="AG52" i="22"/>
  <c r="AE52" i="22"/>
  <c r="AF35" i="22"/>
  <c r="AV29" i="22"/>
  <c r="AT29" i="22"/>
  <c r="AS29" i="22"/>
  <c r="AQ29" i="22"/>
  <c r="AP29" i="22"/>
  <c r="AN29" i="22"/>
  <c r="AM29" i="22"/>
  <c r="AK29" i="22"/>
  <c r="AJ29" i="22"/>
  <c r="AH29" i="22"/>
  <c r="AV21" i="22"/>
  <c r="AT21" i="22"/>
  <c r="AS21" i="22"/>
  <c r="AQ21" i="22"/>
  <c r="AP21" i="22"/>
  <c r="AN21" i="22"/>
  <c r="AM21" i="22"/>
  <c r="AK21" i="22"/>
  <c r="AI16" i="22"/>
  <c r="AU11" i="22"/>
  <c r="AT11" i="22"/>
  <c r="AR11" i="22"/>
  <c r="AQ11" i="22"/>
  <c r="AO11" i="22"/>
  <c r="AN11" i="22"/>
  <c r="AL11" i="22"/>
  <c r="AK11" i="22"/>
  <c r="AI11" i="22"/>
  <c r="AH11" i="22"/>
  <c r="AF11" i="22"/>
  <c r="AE11" i="22"/>
  <c r="AV10" i="22"/>
  <c r="AT10" i="22"/>
  <c r="AS10" i="22"/>
  <c r="AQ10" i="22"/>
  <c r="AP10" i="22"/>
  <c r="AN10" i="22"/>
  <c r="AM10" i="22"/>
  <c r="AK10" i="22"/>
  <c r="AJ10" i="22"/>
  <c r="AH10" i="22"/>
  <c r="F4" i="22"/>
  <c r="AZ9" i="67" l="1"/>
  <c r="BF9" i="67" s="1"/>
  <c r="DA9" i="67"/>
  <c r="G16" i="2"/>
  <c r="D15" i="2"/>
  <c r="D17" i="2"/>
  <c r="D19" i="2"/>
  <c r="E15" i="2"/>
  <c r="E17" i="2"/>
  <c r="E19" i="2"/>
  <c r="D16" i="2"/>
  <c r="D18" i="2"/>
  <c r="E16" i="2"/>
  <c r="E18" i="2"/>
  <c r="BA9" i="67" l="1"/>
  <c r="BG9" i="67" s="1"/>
  <c r="DB9" i="67"/>
  <c r="G19" i="2"/>
  <c r="G34" i="2" s="1"/>
  <c r="G17" i="2"/>
  <c r="G32" i="2" s="1"/>
  <c r="G18" i="2"/>
  <c r="G15" i="2"/>
  <c r="G22" i="2" s="1"/>
  <c r="F18" i="2"/>
  <c r="F33" i="2" s="1"/>
  <c r="F15" i="2"/>
  <c r="F22" i="2" s="1"/>
  <c r="F16" i="2"/>
  <c r="F31" i="2" s="1"/>
  <c r="F17" i="2"/>
  <c r="F19" i="2"/>
  <c r="F34" i="2" s="1"/>
  <c r="E31" i="2"/>
  <c r="E23" i="2"/>
  <c r="D33" i="2"/>
  <c r="D25" i="2"/>
  <c r="E22" i="2"/>
  <c r="E30" i="2"/>
  <c r="D24" i="2"/>
  <c r="D32" i="2"/>
  <c r="D22" i="2"/>
  <c r="D30" i="2"/>
  <c r="E33" i="2"/>
  <c r="E25" i="2"/>
  <c r="E24" i="2"/>
  <c r="E32" i="2"/>
  <c r="D26" i="2"/>
  <c r="D34" i="2"/>
  <c r="D31" i="2"/>
  <c r="D23" i="2"/>
  <c r="E26" i="2"/>
  <c r="E34" i="2"/>
  <c r="G31" i="2"/>
  <c r="BB9" i="67" l="1"/>
  <c r="BH9" i="67" s="1"/>
  <c r="DC9" i="67"/>
  <c r="G30" i="2"/>
  <c r="F24" i="2"/>
  <c r="G23" i="2"/>
  <c r="F32" i="2"/>
  <c r="F25" i="2"/>
  <c r="G24" i="2"/>
  <c r="G25" i="2"/>
  <c r="G33" i="2"/>
  <c r="G26" i="2"/>
  <c r="F23" i="2"/>
  <c r="F26" i="2"/>
  <c r="F30" i="2"/>
  <c r="DD9" i="67" l="1"/>
  <c r="DG9" i="67" l="1"/>
  <c r="C11" i="68" l="1"/>
  <c r="C19" i="68" s="1"/>
  <c r="DH9" i="67"/>
  <c r="C6" i="68" l="1"/>
  <c r="D11" i="68"/>
  <c r="D19" i="68" s="1"/>
  <c r="DI9" i="67"/>
  <c r="D6" i="68" l="1"/>
  <c r="E11" i="68"/>
  <c r="E19" i="68" s="1"/>
  <c r="DJ9" i="67"/>
  <c r="E6" i="68" l="1"/>
  <c r="F11" i="68"/>
  <c r="F19" i="68" s="1"/>
  <c r="DK9" i="67"/>
  <c r="F6" i="68" l="1"/>
  <c r="G11" i="68"/>
  <c r="G19" i="68" s="1"/>
  <c r="G6" i="68" l="1"/>
</calcChain>
</file>

<file path=xl/comments1.xml><?xml version="1.0" encoding="utf-8"?>
<comments xmlns="http://schemas.openxmlformats.org/spreadsheetml/2006/main">
  <authors>
    <author>Taylor, Andrew</author>
  </authors>
  <commentList>
    <comment ref="C4" authorId="0" shapeId="0">
      <text>
        <r>
          <rPr>
            <sz val="9"/>
            <color indexed="81"/>
            <rFont val="Tahoma"/>
            <family val="2"/>
          </rPr>
          <t>The number of runs should be set high enough for the model to converge to a value</t>
        </r>
      </text>
    </comment>
    <comment ref="D6" authorId="0" shapeId="0">
      <text>
        <r>
          <rPr>
            <sz val="9"/>
            <color indexed="81"/>
            <rFont val="Tahoma"/>
            <family val="2"/>
          </rPr>
          <t>For each entry, the probability of occuring is defined as the range that is set here.</t>
        </r>
      </text>
    </comment>
    <comment ref="K9" authorId="0" shapeId="0">
      <text>
        <r>
          <rPr>
            <b/>
            <sz val="9"/>
            <color indexed="81"/>
            <rFont val="Tahoma"/>
            <family val="2"/>
          </rPr>
          <t>Uniform distribution only</t>
        </r>
      </text>
    </comment>
  </commentList>
</comments>
</file>

<file path=xl/comments2.xml><?xml version="1.0" encoding="utf-8"?>
<comments xmlns="http://schemas.openxmlformats.org/spreadsheetml/2006/main">
  <authors>
    <author>Cheng, Chun-yee</author>
  </authors>
  <commentList>
    <comment ref="V9" authorId="0" shapeId="0">
      <text>
        <r>
          <rPr>
            <b/>
            <sz val="9"/>
            <color indexed="81"/>
            <rFont val="Tahoma"/>
            <family val="2"/>
          </rPr>
          <t>Cheng, Chun-yee:</t>
        </r>
        <r>
          <rPr>
            <sz val="9"/>
            <color indexed="81"/>
            <rFont val="Tahoma"/>
            <family val="2"/>
          </rPr>
          <t xml:space="preserve">
not included those related to Admin (LAA), right?
</t>
        </r>
      </text>
    </comment>
    <comment ref="F16" authorId="0" shapeId="0">
      <text>
        <r>
          <rPr>
            <b/>
            <sz val="9"/>
            <color indexed="81"/>
            <rFont val="Tahoma"/>
            <family val="2"/>
          </rPr>
          <t>Cheng, Chun-yee:</t>
        </r>
        <r>
          <rPr>
            <sz val="9"/>
            <color indexed="81"/>
            <rFont val="Tahoma"/>
            <family val="2"/>
          </rPr>
          <t xml:space="preserve">
Decision to remove on 2/10/17</t>
        </r>
      </text>
    </comment>
  </commentList>
</comments>
</file>

<file path=xl/connections.xml><?xml version="1.0" encoding="utf-8"?>
<connections xmlns="http://schemas.openxmlformats.org/spreadsheetml/2006/main">
  <connection id="1" name="Connection" type="5" refreshedVersion="5">
    <dbPr connection="Provider=sas.LocalProvider.9.42;Data Source=_LOCAL_;Mode=Read|Share Deny None;SAS File Format=V9;Use TK Manager Search Path=False;SAS Data Set Creation Code Page=0;SAS ValidMemName Read Update=False;SAS Adjust Starting Date 1900=False" command="L:\SRFFAS\FPEK\Data\Output\bau_change_impact_output.sas7bdat" commandType="3"/>
  </connection>
  <connection id="2" name="Connection1" type="5" refreshedVersion="5">
    <dbPr connection="Provider=sas.LocalProvider.9.42;Data Source=_LOCAL_;Mode=Read|Share Deny None;SAS File Format=V9;Use TK Manager Search Path=False;SAS Data Set Creation Code Page=0;SAS ValidMemName Read Update=False;SAS Adjust Starting Date 1900=False" command="L:\SRFFAS\FPEK\Data\Output\spend outputs table.sas7bdat" commandType="3"/>
  </connection>
</connections>
</file>

<file path=xl/sharedStrings.xml><?xml version="1.0" encoding="utf-8"?>
<sst xmlns="http://schemas.openxmlformats.org/spreadsheetml/2006/main" count="1334" uniqueCount="439">
  <si>
    <t>High</t>
  </si>
  <si>
    <t>Medium</t>
  </si>
  <si>
    <t>Low</t>
  </si>
  <si>
    <t>2017/18</t>
  </si>
  <si>
    <t>2018/19</t>
  </si>
  <si>
    <t>2019/20</t>
  </si>
  <si>
    <t>2020/21</t>
  </si>
  <si>
    <t>2021/22</t>
  </si>
  <si>
    <t>2022/23</t>
  </si>
  <si>
    <t>BAU</t>
  </si>
  <si>
    <t>Other</t>
  </si>
  <si>
    <t>Change</t>
  </si>
  <si>
    <t>Likelihood</t>
  </si>
  <si>
    <t>Risk</t>
  </si>
  <si>
    <t>Opportunity</t>
  </si>
  <si>
    <t>Comments</t>
  </si>
  <si>
    <t>Yes</t>
  </si>
  <si>
    <t>Fanchart</t>
  </si>
  <si>
    <t>Source</t>
  </si>
  <si>
    <t>FRDEL</t>
  </si>
  <si>
    <t>No</t>
  </si>
  <si>
    <t>Fund-Crime Lower (LAA)</t>
  </si>
  <si>
    <t>Fund-Civil Rep (LAA)</t>
  </si>
  <si>
    <t>Admin (LAA)</t>
  </si>
  <si>
    <t>Fund-Crime Higher (LAA)</t>
  </si>
  <si>
    <t>Central Fund (LAA)</t>
  </si>
  <si>
    <t>Other Inputs</t>
  </si>
  <si>
    <t>Monte-Carlo Simulation</t>
  </si>
  <si>
    <t>Policy</t>
  </si>
  <si>
    <t>Unquantified or &lt; £0.5m</t>
  </si>
  <si>
    <t>LGFS Reform: already included in MTFP policy overlay so should treat as a risk of it not materialising instead</t>
  </si>
  <si>
    <t>Extra information</t>
  </si>
  <si>
    <t>Opportunities log as positive numbers in LAA Fund Forecasts Risk and Opportunities Register - Change to negative in table below</t>
  </si>
  <si>
    <t>LAA July Fund Forecasts -"E. Risks and Opportunities Register (July 17)"</t>
  </si>
  <si>
    <t>Risk/Opportunity/Removed</t>
  </si>
  <si>
    <t>LAA Reference</t>
  </si>
  <si>
    <t>Details</t>
  </si>
  <si>
    <t>17/18</t>
  </si>
  <si>
    <t>18/19</t>
  </si>
  <si>
    <t>19/20</t>
  </si>
  <si>
    <t>20/21</t>
  </si>
  <si>
    <t>21/22</t>
  </si>
  <si>
    <t>Likelihood of risk materialising</t>
  </si>
  <si>
    <t>Certainty of Estimated Impact</t>
  </si>
  <si>
    <t>Note</t>
  </si>
  <si>
    <t>Include in Monte-Carlo?</t>
  </si>
  <si>
    <t>If not include in MC, why not?</t>
  </si>
  <si>
    <t>Service Area</t>
  </si>
  <si>
    <t>BAU or Change</t>
  </si>
  <si>
    <t>FRDEL / NFRDEL / CDEL / AME</t>
  </si>
  <si>
    <t>Uncertainty or Risk/Opportunity or Both</t>
  </si>
  <si>
    <t>Spending Review: Public Family Fee Scheme Reform</t>
  </si>
  <si>
    <t xml:space="preserve">Rationalising the existing family legal aid fee scheme to remove anomalies and bring elements of the scheme into line with other areas by raising the 'escape threshold' to x3 fixed fee, at which point a family solicitor can receive an hourly rate. This creates parity with private family and criminal schemes. Regional Care Proceedings Graduated Fee Scheme (CPGFS) fees standardised at the current level for the North, with the exception of London, which will be set to the current level for the midlands, with an implementation date of June 2018. </t>
  </si>
  <si>
    <t xml:space="preserve">High </t>
  </si>
  <si>
    <t>No Change</t>
  </si>
  <si>
    <t>Ops</t>
  </si>
  <si>
    <t>Risk/Opportunity</t>
  </si>
  <si>
    <t>Independent</t>
  </si>
  <si>
    <t xml:space="preserve">Advocate Graduate Fee Scheme </t>
  </si>
  <si>
    <t>As part of the analysis supporting the IA for the AGFS reforms, sensitivity analysis has been conducted to assess the level of risk around the misclassification of offences and a change in case mix. Implementation date changed to September-17</t>
  </si>
  <si>
    <t>CJS Reform: Out of Court Disposals</t>
  </si>
  <si>
    <t>Increased use of out of court disposals, by giving  police greater discretion to manage offences out of court through a revised court disposal framework. This will divert cases out of the magistrates’ courts, allowing  police to tackle low-level offending in a more proportionate way. Note, while it is possible to set out the impact of this reform, it is not known how the various CJS reform proposals will interact in combination, so it cannot be assumed the savings are cumulative and may be higher or lower than stated. The implementation data of this reform is currently April-19.</t>
  </si>
  <si>
    <t>Pre-recorded Cross Examination (s.28)</t>
  </si>
  <si>
    <t>Pre-trial cross-examination is due to be rolled out across the Crown Court estate throughout 2017 following the announcement in Transforming our Justice System.  Indications from pilot data in 3 Crown Court centres were that a potential legal aid saving could be made as these cases were resolved more swiftly but is dependant on early guilty plea rate, which factors in sitting day changes (see risk). Assumed implementation date of April 2018.</t>
  </si>
  <si>
    <t>HMCTS Reform: Small Claims</t>
  </si>
  <si>
    <t>The HMCTS reform programme is considering a range of options in order to increase efficiency.  All claims in Civil under £25k could be subject to a small claims process, this could result in fewer application in Legal Representation as legal aid is only provided legal help for small claims cases and not legal representation. The cost impact is being assessed but is thought to be minimal.</t>
  </si>
  <si>
    <t>Early Guilt Plea Sentencing Guideline</t>
  </si>
  <si>
    <t>Sentencing guidelines are being revised from 1st June 2017 to encourage earlier guilty pleas. This is likely to have a longer term positive impact on the legal aid fund as fewer case could go to trial, cases could become shorter by entering a guilty plea earlier or either-way custodial sentences could be reduced to enable Mags court to retain jurisdiction. However, there is a risk of a fund pull-forward caused by the streamlining resulting in spend billing out earlier (see risks). The situation is being monitored.</t>
  </si>
  <si>
    <t>Crown Court Sitting Days</t>
  </si>
  <si>
    <t xml:space="preserve">Crown Court sitting days constrain court capacity and are a key indicator of imminent legal aid billing in Crime Higher. For every 1000 days sat the cost to the fund is  approximately £5m. The opportunity from 2018/19 represents 98,500 days to be sat, rather than the current assumption of 103,000. There is also potential for an interim measure  to reduce by 1500 sitting days in 2017/18 (500 in each month from January to March), the in-year movement of £2.86m reflects this, and £4.94 sits in 18/19 but is absorbed within the existing opportunity, to include in addition would be double counting. </t>
  </si>
  <si>
    <t>Values and description updated.</t>
  </si>
  <si>
    <t>Crown Court Means Testing</t>
  </si>
  <si>
    <t>CCMT income has been higher than expect over the past few months but it is being investigated whether this is expected to continue or balance out over the year.</t>
  </si>
  <si>
    <t>Figures updated</t>
  </si>
  <si>
    <t>Central Funds (s.38)</t>
  </si>
  <si>
    <t>Magistrate s.38 bills, whereby the court appoints a legal representative to cross examine a witness in certain circumstances, are currently paid at private rates through Central Funds. The option to cap spend at legal aid rates, which would require secondary legislation, is being investigated, as is tightening guidance to restrict funding purely to the cross-examination part of the proceedings (current often ignored in cost orders). The phasing assumes and implementation date of January 2018. The flagged savings estimated may be reduced as the LAA have come under pressure to make concessions on S38, it will be either not capping rates at all, or through looking at the differential between the proposed FAS-based rates in family and aligning S38 with these, this may also have an impact LGFS and AGFS. If the former option is chosen, we would have to assess the likely additional cost that the family proposals would incur, as we wouldn’t be able to maintain the position that these ought to be at LA rates. If the latter, an assessment would need to be made of the additional S38 costs.</t>
  </si>
  <si>
    <t>Assumed start date changed to January 2018. Certainty of estimated impact changed from medium to low.</t>
  </si>
  <si>
    <t>LGFS Reform</t>
  </si>
  <si>
    <t>Reform of Litigator Grad Fee Scheme is being considered, with savings estimates in the region of £33m in steady state, with an assumed implementation date of October-17.</t>
  </si>
  <si>
    <t>Assumed start date changed to October 2017.</t>
  </si>
  <si>
    <t>Special Children Act (SCA)</t>
  </si>
  <si>
    <t xml:space="preserve">Special Children Act applications have shown a slow down in the rate of increase. This may lead in to a downwards trend, resulting in further savings. The situation will be closely monitored. </t>
  </si>
  <si>
    <t>No change</t>
  </si>
  <si>
    <t>Spending Review: Problem Solving System</t>
  </si>
  <si>
    <t>Previously listed as Public Law Panel System. The introduction of a new, less adversarial Panel System in Public Family Law which will allow parties to be invested in the decision making process and would have the aim of producing better outcomes for children and families by reducing disputes and resolving issues more quickly, while still being part of the formal court process.  Implementation date assumed to be October 2019.</t>
  </si>
  <si>
    <t>Savings updated.  Now represent 10% reduction in public family volumes from October 2019.</t>
  </si>
  <si>
    <t>Spending Review: Out of Court Pathway</t>
  </si>
  <si>
    <t>A potential saving of around £4m p.a. from 2020-21 from introducing the out of court pathway in private family.</t>
  </si>
  <si>
    <t xml:space="preserve">No Change. Still awaiting ministerial steer. </t>
  </si>
  <si>
    <t>CJS Reform: Fast track cases and increased use of virtual court</t>
  </si>
  <si>
    <t>Currently virtual courts (fast track) pilot cases are not subject to the Interests of Justice test or a means test. If they were to increase significantly in future, consideration will be needed on whether to undertake some form of means assessment and interest of justice test for those cases that were dealt with and sentenced on the same day ahead of the policy being implemented. Otherwise, this policy could lead to increased legal aid costs. Depending on the path taken, this may result in a cost or savings of £1m in steady state, however the finalised impact and phasing is still being determined.</t>
  </si>
  <si>
    <t>Expert Fees</t>
  </si>
  <si>
    <t>Several options are being considered to codify or extend hourly fixed fees in Expert rates (disbursements).</t>
  </si>
  <si>
    <t>Legal representation in First and Last Public Law Hearings</t>
  </si>
  <si>
    <t>Consideration to the viability of limiting legal representation for parties in Public Law cases to only the first and last hearings. There are potential legal risks to introducing such a reform, and ministerial steer has been requested.</t>
  </si>
  <si>
    <t>Crime Lower Volumes</t>
  </si>
  <si>
    <t>Crime Lower volumes could continue to decline, driven by a fall in reported Crime across the country.</t>
  </si>
  <si>
    <t>Likelihood updated from Medium to Low</t>
  </si>
  <si>
    <t>Family Mediation</t>
  </si>
  <si>
    <t>Mediation provision may be transferred from Legal Aid Agency to CAFCASS. Mediation spend is approximately £7m per year but as planning is at very early stages and may take years to finalise, an opportunity value has not been stated in a particular year due to uncertainty. Further, although Mediation could transfer, so may the budget so there may be no overall benefit.</t>
  </si>
  <si>
    <t>Birmingham Bombings Inquest</t>
  </si>
  <si>
    <t>An inquest in to the 'Birmingham pub bombings' is being funded through legal aid. An estimated costs of £15m has been included in the forecast, split £7.5m in 2017/18 and £7.5m in 2018/19. However, the total costs associated with this case, and when those costs will be paid, is reliant in the scope of the inquest (which is decided by the coroner), and the length of the inquest (which is unknown). Therefore the case could cost less, a lower end estimate for the case approximately £10m in total.</t>
  </si>
  <si>
    <t xml:space="preserve">Flexible Courts </t>
  </si>
  <si>
    <t>Flexible Courts will allow for Crown Courts to send cases back to Magistrate Courts if the sentences will be within the remit of Magistrate sentencing powers. This replaces the previously listed risk/opportunity for increasing sentencing powers at magistrate courts to 6 or 12 months. The savings listed is a net impact of savings at Crown Court and increased costs at Magistrate Courts.</t>
  </si>
  <si>
    <t>LGFS PPE Decline</t>
  </si>
  <si>
    <t>Litigator Graduated Fee Scheme (LGFS) average price is increasing due to an increasing number of Pages of Prosecution Evidence (PPE) being submitted. However, if this trend were to plateau without policy intervention, eg due to a reduction in redeterminations, then forecast may see an opportunity arise. Costings are being determined but there is not likely to be an in-year impact.</t>
  </si>
  <si>
    <t xml:space="preserve">Decision to remove Legal Aid Transformation (LAT) 2nd Fee Cut Permanently </t>
  </si>
  <si>
    <t>The forecast assumes a permanent reversal of the Legal Aid Transformation Crime Competition 2nd fee cut. A decision may be made at a point in time to reintroduce the fee cut.</t>
  </si>
  <si>
    <t>Domestic Violence Evidence Requirements Reversal</t>
  </si>
  <si>
    <t>Costs associated with providing representation to victims of domestic violence in Private Family cases is at risk of being removed from the forecast. This option is given authority through ta statutory instrument (SI), which is now on hold due to the upcoming election, however it has not been removed from the forecast because a reform was triggered through judicial review and some form of reform is therefore required.</t>
  </si>
  <si>
    <t>Cross Examination of a Vulnerable Witness (Civil - Central Funds)</t>
  </si>
  <si>
    <t>The Central Funds forecast assumes the costs associated with the cross examination of a vulnerable witness in Civil cases will be incurred, despite the delay in the Prison and Courts Bill due to the general election. It is possible a new government could reverse the proposal to extend representation, and therefore reduce the forecast expenditure, but it is thought unlikely. Assumed implementation date of Apr-18</t>
  </si>
  <si>
    <t>Enforcement costs</t>
  </si>
  <si>
    <t>Enforcement costs of debt collection for terminated provider contract. Additional estimated risk of £500k which is likely to materialise in-year.</t>
  </si>
  <si>
    <t>Description Updated</t>
  </si>
  <si>
    <t>Current Account Target</t>
  </si>
  <si>
    <t>The recovery target for a reduction in SMP balances of £8m per year between 2017/18 and 2019/20 (£2m Legal Help and £6m Crime Lower) may not be reached, resulting in a net increase in spend.</t>
  </si>
  <si>
    <t>Immigration Asylum Fast Track</t>
  </si>
  <si>
    <t>Further to the Home Office’s unsuccessful defence of their position on Immigration contracts, the original detained fast track (DFT) asylum scheme will be re-implemented, resulting in a potential pull-forward in spend, as the appeals on these cases will be heard more quickly.  In addition, further groups of eligible clients will be added to the scheme.  These additional clients will not increase costs, since they will be paid under the GFS, rather than on hourly rates, however their costs could also be expected to be pulled-forward, as the appeals will be heard sooner.  Work is underway is assess the potential pull-forward.</t>
  </si>
  <si>
    <t>Capital passporting</t>
  </si>
  <si>
    <t>A proposal to reverse a change made by LASPO, which will allow for capital passporting in licensed work. Risk estimated to be around £1m, but no phasing or implementation date is currently available.</t>
  </si>
  <si>
    <t>Statutory Charge</t>
  </si>
  <si>
    <t xml:space="preserve">The LAA continues to receive cases in which it is being asked to intervene by the Court in relation to the application of the statutory charge to HRA damages in claims arising from care proceedings. One of those cases Angelkov, is listed to be heard in the High Court on 6 September 2017. The children concerned were in receipt of public funding for care proceedings and in applications for declarations under the HRA (in relation to failures in duties owed by the Local Authority to them). The LAA argues that the statutory charge will apply to any award of HRA damages. </t>
  </si>
  <si>
    <t>(R (Kiarie) v SSHD) Immigration s.94B certificate</t>
  </si>
  <si>
    <t>Following a Supreme Court judgement in the case of R (Kiarie) v SSHD, the LAA may be bound to funding appeals of those who were removed from the country through the first tier tribunal, despite them being abroad. Investigation in to the cost impact is ongoing.</t>
  </si>
  <si>
    <t>Higher Court Discretionary Costs</t>
  </si>
  <si>
    <t>Senior Court Cost Office spend has been increasing, driven by contempt of court cases. An increase to the forecast has been made to account for this but given the limited data available in the short term, spend could increase further. The situation is being closely monitored.</t>
  </si>
  <si>
    <t>New</t>
  </si>
  <si>
    <t>Special Children Act (SCA) Volumes</t>
  </si>
  <si>
    <t>SCA volume can be  volatile and are sensitive to a number of influencing factors. There have been signs of a slow down in the rate of increase on 2016/17, but this could reverse. This risk scenario assumes the same year-on-year rate of increase seen in 2016/17 will continue until the end of 2017/18. The overall value stated assumes the current average cost profiles are maintained, but this may also change further extenuating the impact.</t>
  </si>
  <si>
    <t>PPE Scope changes (R v Dinu)</t>
  </si>
  <si>
    <t>The judgement in Lord Chancellor v SVS (R v. Dinu) may result in some evidence being classified as payable as PPE within the graduated fee scheme which was previously ‘unused’.  The nature of the decision and the uncertainty over the resulting provider behaviour means that it is not possible to accurately quantify the immediate impact but steps are being taken to give an indicative view. Although not costed this is thought to have the  potential to have a significant impact to the fund. Mitigating steps are also being taken to help narrow the scope of the decision.</t>
  </si>
  <si>
    <t>Likelihood updated from High to Medium.</t>
  </si>
  <si>
    <t>Advocate Graduate Fee Scheme Reform</t>
  </si>
  <si>
    <t>As part of the analysis supporting the IA for the AGFS reforms, sensitivity analysis has been conducted to assess the level of risk around the misclassification of offences and increased hearing volumes. Implementation date assumed to be September-17.</t>
  </si>
  <si>
    <t xml:space="preserve">Birmingham Bombings Inquest </t>
  </si>
  <si>
    <t xml:space="preserve">An inquest in to the 'Birmingham pub bombings' is being funded through legal aid. An estimated costs of £15m has been included in the forecast, split £3.75m in 2017/18 and £11.15m in 2018/19. However, the total costs associated with this case, and when those costs will be paid, is reliant in the scope of the inquest (which is decided by the coroner), and the length of the inquest (which is unknown). Therefore the case could cost more, last longer, and bill at such a time the cost impact in greater in one year to the next. A higher end estimate for the case is as high as £50m, the remaining amount of which is flagged as a risk. </t>
  </si>
  <si>
    <t>£20m</t>
  </si>
  <si>
    <t>£15m</t>
  </si>
  <si>
    <t>Description updated</t>
  </si>
  <si>
    <t>Prison Law Judicial Review</t>
  </si>
  <si>
    <t>Judicial Review of Prison Law LAT reforms brought forward by 'Howard League for Penal Review'. MoJ and NOMS are currently considering the following contingency options: 1) Reintroducing some out of scope Prison Law cases back into scope. 2) Use the current ECF system to cover cases, which has a number of legislative issues attached. 3) Introducing a bespoke ECF like system, which is legally complex and would require primary legislative changes. Option 1 has been included in the forecast as the preferred/lower range options, but  a higher end risk of a further £2.6m is flagged to reflect a complete reversal of Prison Law LAT scope changes (which is a risk pending on out come of appeal). If an appeal were to be accepted by the Supreme Court a hearing is not likely to be listed until early 2018.</t>
  </si>
  <si>
    <t>Pre-recorded cross examination (s.28)</t>
  </si>
  <si>
    <t>Pre-trial cross-examination is due to be rolled out across the Crown Court estate throughout 2017 following the announcement in Transforming our Justice System.  Indications from pilot data in 3 Crown Court centres were that a potential legal aid saving could be made as these cases were resolved more swiftly (see opportunities) but is dependant on early guilty plea rate, which factors in sitting day changes. Assumed implementation date of April 2018.</t>
  </si>
  <si>
    <t>Government strategy for domestic violence awareness</t>
  </si>
  <si>
    <t>There is a new Government strategy being developed for Domestic Violence. This could increase awareness and as a result increase the volumes of applications. There is a planned Domestic Abuse bill for next Spring .</t>
  </si>
  <si>
    <t>Sentencing guidelines are being revised from 1st June 2017 to encourage earlier guilty pleas. This is likely to have a longer term positive impact on the legal aid fund as fewer case could go to trial, cases could become shorter by entering a guilty plea earlier or either-way custodial sentences could be reduced to enable Mags court to retain jurisdiction (see opportunities). However, there is a risk of a fund pull-forward caused by the streamlining resulting in spend billing out earlier. The situation is being monitored.</t>
  </si>
  <si>
    <t>Contributions Judicial Review</t>
  </si>
  <si>
    <t>The Court of Appeal has granted permission for a Judicial Review on capital contributions. The NCCT, CCMT and Legal teams are reviewing the case. It is not yet possible to comment on the scale or wider impact (if any) this could have.</t>
  </si>
  <si>
    <t>Peer Review</t>
  </si>
  <si>
    <t>The level of peer reviews to be administered may increase to cover one third of providers, in order to improve quality control. Final details and costs are to be determined.</t>
  </si>
  <si>
    <t>Universal Credit + Earnings</t>
  </si>
  <si>
    <t>As an interim measure, Universal Credit was added to the list of qualifying benefits to be passported to non-contributory legal aid from April 2013. Continuing to passport all Universal Credit recipients, regardless of the proportion of their income compromised of benefit income would lead to an unfunded pressure on the legal aid fund. The expectation is passporting those on UC with £0 earning to be implemented from February 2018.</t>
  </si>
  <si>
    <t>Implementation date has been updated.</t>
  </si>
  <si>
    <t>HMCTS Courts Reforms - Virtual Courts</t>
  </si>
  <si>
    <t xml:space="preserve">HMCTS have released a revised reform model for the courts which have widens the scope of virtual courts from just Bail/Remand to effectively cover the entire Police Station and Court process. It is estimated to cost £78m in steady state assuming no change to payment regulations. Options to reform the fee schemes using a new model are being looked at. </t>
  </si>
  <si>
    <t>Likelihood updated from High to Low and description Updated.</t>
  </si>
  <si>
    <t>Very High Cost Cases</t>
  </si>
  <si>
    <t>Outturn for Very High Cost Cases has been higher than anticipated. This is driven by a mixture of older more expensive cases billing, and an increase in the number of new contracts being signed. Initial estimated impacts have been included in the forecast but further work is ongoing to estimate any further impacts.</t>
  </si>
  <si>
    <t>Likelihood updated from High to Low and description updated.</t>
  </si>
  <si>
    <t>Home Office Asylum Backlog</t>
  </si>
  <si>
    <t xml:space="preserve">Home Office have a backlog of asylum cases which could trigger an extra 6,000 asylum appeals. As appellants on asylum support attract legal aid funding  this has the potential to have a significant impact. The likelihood is that this could have an impact in-year but the impact is constrained by tribunal capacity. Costing and phasing to be added. </t>
  </si>
  <si>
    <t>Likelihood updated from Medium to Low.</t>
  </si>
  <si>
    <t>Central Funds - High Cost Cases</t>
  </si>
  <si>
    <t>The current Central Funds forecast does not have a provision for high cost cases (£1m or higher). It is not possible to track a case until a Defence Cost Order (DCO) has been granted, and therefore it is difficult to make an assumption on whether one will materialise.</t>
  </si>
  <si>
    <t>Crown Court sitting days constrain court capacity and are a key indicator of imminent legal aid billing in Crime Higher. For every 1000 days sat the cost to the fund is  approximately £5m.</t>
  </si>
  <si>
    <t>Government Department Legal Cost Recovery</t>
  </si>
  <si>
    <t>Ministers have agreed to discuss a proposal from the Ministry of Defence that where the Legal Aid Agency funds an unsuccessful challenge against a Government Department it should refund the Department’s costs, particularly in Judicial Review cases. At the moment, a defendant such as the MoD could only recover its appeal costs.</t>
  </si>
  <si>
    <t>YJ Review: Legal Aid in the Youth Court</t>
  </si>
  <si>
    <t>Consideration of whether and how to bring remuneration for defence advocates in serious cases in the Youth Court into line with equivalent adult cases tried in the Crown Court. In steady state this could cost £2.5m per year. Work on phasing these costs is ongoing.</t>
  </si>
  <si>
    <t>Steady state costs updated.</t>
  </si>
  <si>
    <t>Funding Special Advocates through Legal Aid</t>
  </si>
  <si>
    <t>A judge has made an order sanctioning the appointment of a special advocate for a closed hearing due to take place in April. The order specifies that the costs be borne by legal aid, but this is being challenged. A special advocate can be appointed where the Court is of the view that one or more of the parties should not see some of the evidence in the proceedings. Recent months have seen increasing numbers of family cases where there are allegations that children are planning or attempting to travel to parts of Syria, that children have been or are at risk of being radicalised, or that children have been or are at risk of being involved in terrorist activities. Such cases, depending on the evidence involved, may require the use of special advocates.  Costs can be less than £10,000 per case, however, they have seen a clear trend of increasing involvement on the part of the special advocate (particularly where a case involves national security) with costs consistently exceeding £25,000 per case.</t>
  </si>
  <si>
    <t xml:space="preserve">Immigration and Asylum Chamber (Upper Tribunal) </t>
  </si>
  <si>
    <t>Amendment of the regulations to the Civil Legal Aid Regulations 2012 in the Immigration and Asylum Chamber (Upper Tribunal). These cases are high profile and have high costs attached and involve a large amount of Legal Aid expenditure. Presently, all cases are paid without any upfront a authorisation or control from the Legal Aid Agency (LAA). Therefore, there is a proposals for these cases to be moved to licenced work. This will give the LAA better control of expenditure. There is no expectation that these will result in a cost increase to the LAA. However there could be a risk that a pull forward is spend could occur, this is because under Licenced work the provider is able to submit a bill earlier.</t>
  </si>
  <si>
    <t>Drug Tests in Public Family Cases</t>
  </si>
  <si>
    <t>The method of conducting some drug tests on hair samples is under review. If found  the tests were not conducted properly there could be spend implications for the agency, as old Public Family cases may be reopened. Cost impact has not yet been assessed.</t>
  </si>
  <si>
    <t>Grenfell Tower Fire Incident</t>
  </si>
  <si>
    <t>Following the Grenfell Tower fire incident the LAA may provide funding to the victims but this is yet to be determined.</t>
  </si>
  <si>
    <t>Remove</t>
  </si>
  <si>
    <t>Crime Higher underspend</t>
  </si>
  <si>
    <t>In May 2017 there was an £11m underspend in Crime Higher against budget. This is thought to be the result of a change in the Crime Case Management team which lead to newer staff focusing on processing less complex, and therefore cheaper, cases whilst the more complex and expensive cases remained in the backlog. A decision was therefore taken to not crystallise underspend through the forecast but to monitor until the more expensive bills have been cleared.</t>
  </si>
  <si>
    <t>No longer an opportunity.</t>
  </si>
  <si>
    <t>B. Monte-Carlo Steps</t>
  </si>
  <si>
    <t>Monte-Carlo</t>
  </si>
  <si>
    <t>Dependent</t>
  </si>
  <si>
    <t>Darren McHale</t>
  </si>
  <si>
    <t>Analysts</t>
  </si>
  <si>
    <t>Assumption for model</t>
  </si>
  <si>
    <t>Signed off date</t>
  </si>
  <si>
    <t>Alex Scott / Matt Baugh</t>
  </si>
  <si>
    <t>Fund-Crime Lower (LAA)
Fund-Civil Rep (LAA)</t>
  </si>
  <si>
    <t>Civil Rep Price Profiling</t>
  </si>
  <si>
    <t>The methodology used to forecast price profiles has been revised. This better accounts for recent changes in provider behaviours and activity. A decision will be taken as part of the August forecast as the whether to crystallise this risk.</t>
  </si>
  <si>
    <t>Likelihood updated from Medium to High. Certainty updated from Low to Medium. Values updated</t>
  </si>
  <si>
    <t>This opportunity is assumed to independent of other risks and opportunities in the register.
This opportunity causes permanent change. If this opportunity materialise, the same proportion of impact will materialise through all years.
A symmetrical triangular distribution ranged between £2m and £4m is assumed for 19/20, 20/21 and 21/22.
Note: There is interaction between the volumes for this opportunity (Out of court disposals) and opportunity 14 (CJS Reform: Fast track). This interaction is not known as yet. In theory, lower volumes for OOCD might make higher volumes of fast track, and vice versa, but the fast track is most likely to be rolled into the more all-encompassing CJS reform (bail and remand). Therefore, this interaction is ignored in the Monte-Carlo simulation for now.</t>
  </si>
  <si>
    <t>max 
(£m)</t>
  </si>
  <si>
    <t>min 
(£m)</t>
  </si>
  <si>
    <t>mode
(£m)</t>
  </si>
  <si>
    <t>This opportunity is not included in Monte-Carlo analysis as its impact is less than £0.5m in each year.</t>
  </si>
  <si>
    <t>£2m-£4m</t>
  </si>
  <si>
    <t>£6m - £8m</t>
  </si>
  <si>
    <t>£0.75m - £1m</t>
  </si>
  <si>
    <t>£3m - £4m</t>
  </si>
  <si>
    <t>£4m - £5m</t>
  </si>
  <si>
    <t>£5m - £6m</t>
  </si>
  <si>
    <t>The occurrence of this opportunity is independent of other risks and opportunities in the register.
The impact of this opportunity does not depend on other items but Opportunity 24 (which should be a risk) Cross Examination of Vulnerable Witness depends on the final decision made regarding this opportunity (s. 38).
The opportunity causes a permanent change. If it materialises in yr 1, the same proportion of impact will materialise in all subsequent years.
A uniform distribution is assumed for the impact.
Note: The range of impact applies to if s. 38 goes ahead as intended. If the decision is t rein back, then the saving will be lower. In discussion with policy, it has been suggested £5m as the lower bound for another possibility but there is not enough information to be confident in that value. Therefore, the range £6m-£8m will be used in the model for now.</t>
  </si>
  <si>
    <t>Ed Heardman</t>
  </si>
  <si>
    <t>Ed Heardman, Matt D</t>
  </si>
  <si>
    <t>Sheida Ghadakchian, Tom</t>
  </si>
  <si>
    <t>Sheida Ghadakchian, David</t>
  </si>
  <si>
    <t>Sheida Ghadakchian</t>
  </si>
  <si>
    <t>Matt Baugh</t>
  </si>
  <si>
    <t>Ops, Policy / Change programme?</t>
  </si>
  <si>
    <t>Correlation/ Dependency between years - If 'Dependent', see 'Assumption for model' column for details</t>
  </si>
  <si>
    <t>Correlation/ Dependency between items - If 'Dependent', see 'Assumption for model' column for details</t>
  </si>
  <si>
    <t>If dependent on other years, what is the condition?
Same proportion of impact for all yrs… add any others</t>
  </si>
  <si>
    <t>Single estimates</t>
  </si>
  <si>
    <t>Uniform distribution</t>
  </si>
  <si>
    <t>Triangular distribution</t>
  </si>
  <si>
    <t>Potential delay relevant to this item?</t>
  </si>
  <si>
    <t>Same proportion of impact</t>
  </si>
  <si>
    <t>Range and distribution of uncertainty (£m)?
Single estimate/ uniform/ triangular
See 'Assumption for model' column for details</t>
  </si>
  <si>
    <t>Impact &lt; £0.5m in each year</t>
  </si>
  <si>
    <t>Negative value for opportunities</t>
  </si>
  <si>
    <t>Positive value for risks</t>
  </si>
  <si>
    <t>Cumulative</t>
  </si>
  <si>
    <t xml:space="preserve">This risk is independent of other risks and opportunities including Opportunity 2, which is also related to AGFS but they are on different specific risks and opportunities independent of each other.
A triangular distribution is assumed for the impact between 0 and the impact stated with the greatest probability of occurrence at 0.
This risk causes permanent change through all years, i.e. if this risk materialise in yr1, it will also materialise in all subsequent years.
Impact of each year are also interdependent. The same proportion of total impact in each year will materialise. 
If half of total impact in yr 1 materialise (£2.5m), the same proportion of impact in subsequent years will also materialise (£11.5m in yr 2, £12.5m in yr 3, £13m in yr 4 and £13 in yr 5).
</t>
  </si>
  <si>
    <t xml:space="preserve">This risk is independent of other risks and opportunities in the register. 
This risk causes permanent change through all years. If this risk materialise in yr1, it will also materialise in all subsequent years.
A single point estimate is assumed for the impact, i.e. either total amount materialise or none at all.
Note: Reason for these assumption is because the revised impact in the next register is £0.8m-£1.1m and £1m was already included in the next forecast (Aug-17) and so, this risk will not exist in the next register (Aug-17).
</t>
  </si>
  <si>
    <t xml:space="preserve">The occurrence of this opportunity is independent of other risks and opportunities in the register.
A symmetrical triangular distribution is assumed for the impact in each year. The impact stated is the mid-point with a range of +/- 10%.
This opportunity causes permanent change. If this opportunity materialises, the same proportion of impact will materialise through all years.
Additionally, the impact of this opportunity depend on Opportunity 12 (Spending Review: Problem Solving System). If 100% (mid-point) of the impact of O12 materialise, the impact of this opportunity will be reduced by 10%. If the lower bound (90% of mid-point) of the impact of O12 materialise, the impact of O1 (Spending Review: Public Family Fee Scheme) will be reduced by 9%.  If the upper bound (110% of mid-point) of the impact of O12 materialise, the impact of this opportunity will be reduced by 11%. </t>
  </si>
  <si>
    <t xml:space="preserve">This opportunity is independent of other risks and opportunities including Risk 11, which is also related to AGFS but they are on different specific risks and opportunities independent of each other.
A triangular distribution is assumed for the impact between 0 and the impact stated with the greatest probability of occurrence at 0.
This opportunity causes permanent change through all years, i.e. if this opportunity materialise in yr1, it will also materialise in all subsequent years.
Impact of each year are also interdependent. The same proportion of total impact in each year will materialise. 
If 10 percent of total impact in yr 1 materialise (£0.3m), the same proportion of impact in subsequent years will also materialise (£1.4m in yr 2, £1.6m in yr 3, yr 4 and yr 5).
</t>
  </si>
  <si>
    <t xml:space="preserve">The opportunity does not depend on other risks or opportunities in the register. The impact of Opportunity 1 (Spending Review: Public Family Fee Scheme Reform) is dependent on this opportunity.
This opportunity causes a permanent change. If this opportunity materialise, the same proportion of impact will materialise in all years.
A symmetrical triangular distribution is assumed for the impact. The impact stated is the mid-point with a range of +/- 10%.
If 100% (mid-point) of the impact of O12 materialise, the impact of O1 (Spending Review: Public Family Fee Scheme) will be reduced by 10%. If the lower bound (90% of mid-point) of the impact of O12 materialise, the impact of O1 (Spending Review: Public Family Fee Scheme) will be reduced by 9%.  If the upper bound (110% of mid-point) of the impact of O12 materialise, the impact of O1 (Spending Review: Public Family Fee Scheme) will be reduced by 11%. </t>
  </si>
  <si>
    <t>based on likelihood, range/distribution, interdependencies</t>
  </si>
  <si>
    <t>11a</t>
  </si>
  <si>
    <t>11b</t>
  </si>
  <si>
    <t>2a</t>
  </si>
  <si>
    <t xml:space="preserve">Advocate Graduate Fee Scheme Reform
R11a (uncertainty in forecast) </t>
  </si>
  <si>
    <t>Advocate Graduate Fee Scheme Reform
R11b (specific risk)</t>
  </si>
  <si>
    <t>2b</t>
  </si>
  <si>
    <t>Advocate Graduate Fee Scheme 
O2a (uncertainty in forecast)</t>
  </si>
  <si>
    <t>Advocate Graduate Fee Scheme 
O2b (specific opportunity)</t>
  </si>
  <si>
    <t>Uncertainty in forecast</t>
  </si>
  <si>
    <t>Both</t>
  </si>
  <si>
    <t>This risk is independent of other risks and opportunities in the register. 
A single point estimate is assumed for the impact, i.e. either total amount materialise or none at all.</t>
  </si>
  <si>
    <t>Note that this opportunity no longer exists in the next version of the register.
This opportunity is assumed to be independent from other risks and opportunities in the register. The occurrence and impact are assumed to be independent between years. Single point estimate is assumed for the impact</t>
  </si>
  <si>
    <t>Hannah Kneen, Joshua Walden, John Gray, Raj Mundra</t>
  </si>
  <si>
    <t>Yr 2 only has a chance to materialise if Yr 1 materialised.</t>
  </si>
  <si>
    <t>Fund-Crime Higher (LAA)
Fund-Crime Lower (LAA)</t>
  </si>
  <si>
    <t>Rebekha Wright / Darren McHale</t>
  </si>
  <si>
    <t>The occrrence of this opportunity is independent from other risks and opportunities in the register.
This opportunity causes a permanent change. If this opportunity materialise, the same proportion of impact will materialise in all years.
A symmetrical triangular distribution is assumed for the impact. The impact stated is the mid-point with a range of +/- 50%.</t>
  </si>
  <si>
    <t>Darren McHale/ Alex Dunnet</t>
  </si>
  <si>
    <r>
      <t xml:space="preserve">The occurrence and impact of this opportunity is independent from other risks and opportunities in the register and also independent between years. 
It is assumed that the total impact of £23m will definitely materialise from 19/20 onwards, i.e. likelihood of occurrence is 100%. 
The £3m impact in 17/18 is removed from the currently register (July-17).
A triangular distribution is assumed for 18/19 impact with the greatest probability at the mid-point between 0 and the impact stated.
</t>
    </r>
    <r>
      <rPr>
        <i/>
        <sz val="10"/>
        <color rgb="FF0070C0"/>
        <rFont val="Arial"/>
        <family val="2"/>
      </rPr>
      <t>Impact of other risks/opportunities in Crime Higher will also be affected by Crown Court Sitting Days impact. (will check with Darren which ones are linked and do a blanket % change in model version 1.2.)</t>
    </r>
  </si>
  <si>
    <t>The occurrence of this risk is assumed to be independent of other risks and opportunities in the register (including Opportunity 4 which is also related to s.28).
A uniform distribution is assumed for the impact from 0 to the impact stated.
This opportunity causes permanent change. If this risk materialise, the same proportion of impact will materialise through all years.</t>
  </si>
  <si>
    <t>No Change
Figures based upon the potential impact  for full national rollout and will be updated once remodel based upon the slightly slower-paced rollout is complete.</t>
  </si>
  <si>
    <t xml:space="preserve">The occurrence of this opportunity is assumed to be independent of other risks and opportunities in the register (including Risk 14 which is also related to s.28).
A uniform distribution is assumed for the impact from 0 to the impact stated.
This opportunity causes permanent change. If this opportunity materialise, the same proportion of impact will materialise through all years.
Note that in reality, this opportunity is linked to AGFS (Risk 11 &amp; Opportunity 2). If the AGFS goes ahead as planned, the savings from s.28 will be reduced by roughly 50%. This is not included in the Monte-Carlo model. </t>
  </si>
  <si>
    <t xml:space="preserve">AGFS risk (R11) and opportunity (O2) is split into uncertainty (R11a &amp; O2a) and specific risk (R11b) and specific opportunity (O2b).
The occurrence of this risk is independent of other risks and opportunities in the register.
The impact of specific risk R11b is dependent on the uncertainty R11a &amp; O2a. The impact of R11b is between 0 and 7% of the forecast +/- uncertainty (R11a &amp; O2a). The forecast is £42m in 2017/18, £190m in 2018/19, £209m in 2019/20, £212m in 2020/21 and reach steady state of £213m in 2021/22. 
A triangular distribution between 0 and 7% with the greatest probability at 7% is assumed for the impact. </t>
  </si>
  <si>
    <t>All (LAA)</t>
  </si>
  <si>
    <t>Definite</t>
  </si>
  <si>
    <t>Definite 100% 
(50%R 9+ 50%O11)</t>
  </si>
  <si>
    <t>Definite 100% 
(50%R11a + 50%O2a)</t>
  </si>
  <si>
    <t>Definite 100%</t>
  </si>
  <si>
    <t>Definite 100% 
(67% R12 + 33%O19)</t>
  </si>
  <si>
    <t>The occurrence of this risk is independent of other risks and opportunities in the register.
This risk causes a permanent change. If it materialise in yr 1, the same proportion of impact will materialise in all subsequent years.
A uniform distribution is assumed for the impact.
Note: The impact of this risk is dependent on Opportunity 9 (s. 38). If O9 (s. 38) does not materialise, impact of this risk will be higher but there is not enough information to estimate how much higher at the moment; if O9 (s. 38) happens as planned, the impact of this risk will be £5m-£6m. Only when a decision is made of O9 (s. 38), we can then estimate what the unit cost for this risk will be.</t>
  </si>
  <si>
    <t xml:space="preserve">This opportunity is independent of other risks and opportunities in the register.
A uniform distribution is assumed for the impact between 0 and the impact stated. 
This opportunity causes permanent change through all years, i.e. if this opportunity materialise in yr1, it will also materialise in all subsequent years.
Impact of each year are also interdependent. The same proportion of total impact in each year will materialise. 
</t>
  </si>
  <si>
    <t>Note that this specific opportunity O2b may not exist in the next version of the register. If it does, impact of O2b will be linked to impact of R11a &amp; O2a (uncertainty of AGFS). The assumption for this opportunity will be updated in the next model version when more information is available. 
The occurrence of this opportunity is assumed to be independent of other risks and opportunities in the register. 
A uniform distribution is assumed between 0 and the stated impact.
The impact is assumed to be independent between years.</t>
  </si>
  <si>
    <t>This is part of an uncertainty that will definitely occur.
The occurrence of this risk and opportunity 19 (Birmingham Bombing Inquest) is mutually exclusive, 67% chance that R12 materialises and 33% chance that O19 materialises in 18/19.
A triangular distribution is assumed for the impact between 0 and the stated impact with the greatest probability at 0.</t>
  </si>
  <si>
    <t>This is part of an uncertainty that will definitely occur.
The occurrence of this risk and opportunity 19 (Birmingham Bombing Inquest) is mutually exclusive, 67% chance that R12 materialises and 33% chance that O19 materialises in 18/19.
A triangular distribution is assumed for the impact between 0 and the stated impact with the greatest probability at 0.
The impact is independent between years but there is interdependency between the occurrence of this risk between years. If this risk R12 materialised in 18/19, it will materialise in 19/20. If opportunity O19 materialised in 18/19, then risk R12 will NOT materialise in 19/20.</t>
  </si>
  <si>
    <t xml:space="preserve">AGFS risk (R11) and opportunity (O2) is split into uncertainty (R11a &amp; O2a) and specific risk (R11b) and specific opportunity (O2b).
This is part of an uncertainty that will definitely occur. 50% chance that R11a will materialise and 50% O2a will materialise. The occurrence of R11a and O2a are mutually exclusive. 
The uncertainty (R11a &amp; O2a) is +/- 5% of the forecast (£42m in 2017/18, £190m in 2018/19, £209m in 2019/20, £212m in 2020/21 and reach steady state of £213m in 2021/22). 
A triangular distribution is assumed between +/- the stated impact.
The impact is assumed to be independent between years.
The impact of specific risk R11b is dependent on the uncertainty (impact of R11a and O2a).
</t>
  </si>
  <si>
    <t>This is part of an uncertainty that will definitely occur. 50% chance that R9 will materialise and 50% chance that O11 will materialise. The occurrence of this risk and opportunity 11 (SCA volumes) is mutually exclusive.
The occurrence and impact of this risk is independent between years.
A triangular distribution is assumed between 0 and the impact stated in each year.</t>
  </si>
  <si>
    <t>This is part of an uncertainty that will definitely occur. 50% chance that R9 will materialise and 50% chance that O11 will materialise. The occurrence of this opportunity and Risk R9 (SCA volumes) is mutually exclusive.
The occurrence and impact of this risk is independent between years.
A triangular distribution is assumed between 0 and the impact stated in each year.</t>
  </si>
  <si>
    <t>This risk is independent of other risks and opportunities in the register.
This risk causes a permanent change. If it materialises, the same proportion of impact will materialise through all years.
A triangular distribution is assumed for the impact. The impact stated is the mode. The range is between -10% and +20% of the impact stated.</t>
  </si>
  <si>
    <t>This risk will definitely occur.
This risk is assumed to be independent of other risk and opportunity in the register.
This impact and occurrence of this risk is independent between years.
A uniform distribution is assumed between 0 to the impact stated in each year.
Note: There is additional risk related to this risk (impact not in the current register) and is dependent on Risk 9 (SCA volume). In theory, if Risk 9 materialise, R1 will increase. This additional risk will be considered in future.</t>
  </si>
  <si>
    <t xml:space="preserve">This risk will definitely occur.
This risk is independent of other risks and opportunities.
Uniform distribution is assumed for impact in each year between 0 to total potential impact in each year.
Impact of each year is also cumulative. 
If yr1 does not materialise (£0m), yr 2 and 3 can have impact of up to £5m and £8m respectively.
If £2m in yr 1 materialise, £2m will also materialise in  yr 2 and yr 3, plus potential of  additional amount of up to £3m and £6m in yr 2 and yr 3, respectively. </t>
  </si>
  <si>
    <t>This opportunity will definitely occur.
This opportunity is independent from other risks and opportunities in the register.
The occurrence and impact of this opportunity are independent between years.
Uniform distribution is assumed for the impact between 0 and the stated impact.</t>
  </si>
  <si>
    <t xml:space="preserve">This opportunity is independent of other risks and opportunities in the register.
A triangular distribution is assumed for the impact. At steady state, the min, mode, max impact are £26m, £33m and £36m, respectively.
This opportunity causes permanent change through all years, i.e. if this opportunity materialise in yr1, it will also materialise in all subsequent years. The same proportion of impact will materialise in all years. 
</t>
  </si>
  <si>
    <t xml:space="preserve">Opportunity </t>
  </si>
  <si>
    <t>Take into account range of probability for likelihood</t>
  </si>
  <si>
    <t>Uniform</t>
  </si>
  <si>
    <t>4 - High</t>
  </si>
  <si>
    <t>3 - Medium</t>
  </si>
  <si>
    <t>5 - Very High</t>
  </si>
  <si>
    <t>2 - Low</t>
  </si>
  <si>
    <t>1 - Very Low</t>
  </si>
  <si>
    <t>Name</t>
  </si>
  <si>
    <t>Confidence level: Likelihood of occurrence</t>
  </si>
  <si>
    <t>Y</t>
  </si>
  <si>
    <t>Exclusive</t>
  </si>
  <si>
    <t>Impact dependent on</t>
  </si>
  <si>
    <t>IN YEAR</t>
  </si>
  <si>
    <t>YEAR+1</t>
  </si>
  <si>
    <t>YEAR+2</t>
  </si>
  <si>
    <t>YEAR+3</t>
  </si>
  <si>
    <t>YEAR+4</t>
  </si>
  <si>
    <t>Matches</t>
  </si>
  <si>
    <t>Dependence through years</t>
  </si>
  <si>
    <t>Distribution type</t>
  </si>
  <si>
    <t>Triangular</t>
  </si>
  <si>
    <t>Point</t>
  </si>
  <si>
    <t>Current Run</t>
  </si>
  <si>
    <t>Totals</t>
  </si>
  <si>
    <t>Run No</t>
  </si>
  <si>
    <t>Same Proportion</t>
  </si>
  <si>
    <t>Stops after non-occurence</t>
  </si>
  <si>
    <t>Mean</t>
  </si>
  <si>
    <t>Std dev</t>
  </si>
  <si>
    <t>Stdev</t>
  </si>
  <si>
    <t>Occurrence dependent on</t>
  </si>
  <si>
    <t>Sufficient</t>
  </si>
  <si>
    <t>Dependence on other risks</t>
  </si>
  <si>
    <t>Impact of other risks</t>
  </si>
  <si>
    <t>Distribution types</t>
  </si>
  <si>
    <t>Impact of future years</t>
  </si>
  <si>
    <t>Prevented by</t>
  </si>
  <si>
    <t>Same proportion</t>
  </si>
  <si>
    <t>Unique ID</t>
  </si>
  <si>
    <t>EG01</t>
  </si>
  <si>
    <t>Demand Uncertainty</t>
  </si>
  <si>
    <t>EG02</t>
  </si>
  <si>
    <t>Policy Option 1</t>
  </si>
  <si>
    <t>EG03</t>
  </si>
  <si>
    <t>Policy Option 2</t>
  </si>
  <si>
    <t>Two policies are being considered. One will definitely be chosen, the other will be rejected.
If this option is chosen, then costs are assumed to be exactly £2.5m.</t>
  </si>
  <si>
    <t>EG04</t>
  </si>
  <si>
    <t>Policy Option 1 - Risk</t>
  </si>
  <si>
    <t>EG05</t>
  </si>
  <si>
    <t>Opportunity linked to policy 2</t>
  </si>
  <si>
    <t>There is a possible saving of £2-3m, with £2 being the most likely value. There is always a chance that it occurs, but if EG03 occurs, then this will also always materialise.</t>
  </si>
  <si>
    <t>Number of Runs</t>
  </si>
  <si>
    <t>Central Estimate</t>
  </si>
  <si>
    <t>Forecast</t>
  </si>
  <si>
    <t>Uncertainty</t>
  </si>
  <si>
    <t>Necessary</t>
  </si>
  <si>
    <t>Uncertainty Overlay</t>
  </si>
  <si>
    <t>Variance - Year+0</t>
  </si>
  <si>
    <t>Variance - Year+0 - Low</t>
  </si>
  <si>
    <t>Variance - Year+0 - High</t>
  </si>
  <si>
    <t>Variance - Year+1</t>
  </si>
  <si>
    <t>Variance - Year+1 - Low</t>
  </si>
  <si>
    <t>Variance - Year+1 - High</t>
  </si>
  <si>
    <t>Variance - Year+2</t>
  </si>
  <si>
    <t>Variance - Year+2 - Low</t>
  </si>
  <si>
    <t>Variance - Year+2 - High</t>
  </si>
  <si>
    <t>Variance - Year+3</t>
  </si>
  <si>
    <t>Variance - Year+3 - Low</t>
  </si>
  <si>
    <t>Variance - Year+3 - High</t>
  </si>
  <si>
    <t>Variance - Year+4</t>
  </si>
  <si>
    <t>Variance - Year+4 - Low</t>
  </si>
  <si>
    <t>Variance - Year+4 - High</t>
  </si>
  <si>
    <t>Year+0</t>
  </si>
  <si>
    <t>Year+1</t>
  </si>
  <si>
    <t>Year+2</t>
  </si>
  <si>
    <t>Year+3</t>
  </si>
  <si>
    <t>Year+4</t>
  </si>
  <si>
    <t>Total</t>
  </si>
  <si>
    <t>Forecast + Uncertainty overlay</t>
  </si>
  <si>
    <t>without taking into account uncertainty</t>
  </si>
  <si>
    <t>Step 7: Calculate total impact for run i</t>
  </si>
  <si>
    <t>Include?</t>
  </si>
  <si>
    <t>Adjustments</t>
  </si>
  <si>
    <t>Run i result</t>
  </si>
  <si>
    <t>Model output</t>
  </si>
  <si>
    <t>Final</t>
  </si>
  <si>
    <t>All runs</t>
  </si>
  <si>
    <t>Two policies are being considered. One will definitely be chosen, the other will be rejected.
If this option is chosen, then costs are assumed to be £0-5m per year, with the same proportion of spend occurring each year.</t>
  </si>
  <si>
    <t>If policy option 1 is chosen, there is an additional risk of up to £3m. This is not certain to occur, and the chance it  occurring each year is independent. If it does occur, it is assumed that the proportion of this value is the same as the proportion of EG02.</t>
  </si>
  <si>
    <t>Occurrence dependence Type</t>
  </si>
  <si>
    <t>Impact dependence Type</t>
  </si>
  <si>
    <t>Uplift</t>
  </si>
  <si>
    <t>Assume figures need uplifting in line with inflation</t>
  </si>
  <si>
    <t>Inflation</t>
  </si>
  <si>
    <t>EG06</t>
  </si>
  <si>
    <t>Additional pressure</t>
  </si>
  <si>
    <t>An additional pressure has been identified. It if materialises, it could lead to additional costs, with the potential maximum increasing each year.
It will either occur in all years or not at all, but its impact is independent throughout the years.</t>
  </si>
  <si>
    <t>Step 1: Generate probability at which entry will materialise</t>
  </si>
  <si>
    <t>Step 2: Occurrence (independent of other risks)</t>
  </si>
  <si>
    <t>Step 3: Include dependency between years</t>
  </si>
  <si>
    <t>Step 4: Include dependency between entries</t>
  </si>
  <si>
    <t>Step 5: Generate random number to determine impact  (including dependencies)</t>
  </si>
  <si>
    <t>Step 6 a: Calculate impact based on range and point distribution</t>
  </si>
  <si>
    <t>Step 6 b: Calculate impact based on range and uniform distribution</t>
  </si>
  <si>
    <t>Step 6 c: Calculate impact based on range and triangular distribution</t>
  </si>
  <si>
    <t>Step 6: Calculate impact based on range and distribution</t>
  </si>
  <si>
    <t>Step 7: Calculate 'actual' impact</t>
  </si>
  <si>
    <t>Normal</t>
  </si>
  <si>
    <t>Poisson</t>
  </si>
  <si>
    <t>Standard Deviation Year+0</t>
  </si>
  <si>
    <t>Each year demand is assumed to vary. Separate modelling has informed a range, with higher variance expected in future years. Some of this variance will definitely occur.
Analysis suggests that the variance follows normal distribution</t>
  </si>
  <si>
    <t>Standard Deviation Year+1</t>
  </si>
  <si>
    <t>Standard Deviation Year+2</t>
  </si>
  <si>
    <t>Standard Deviation Year+3</t>
  </si>
  <si>
    <t>Standard Deviation Year+4</t>
  </si>
  <si>
    <t>Step 6 d: Calculate impact based on range and normal distribution</t>
  </si>
  <si>
    <t>EG07</t>
  </si>
  <si>
    <t>High value events</t>
  </si>
  <si>
    <t>Impact per event Year+0</t>
  </si>
  <si>
    <t>Impact per event Year+1</t>
  </si>
  <si>
    <t>Impact per event Year+2</t>
  </si>
  <si>
    <t>Impact per event Year+3</t>
  </si>
  <si>
    <t>Impact per event Year+4</t>
  </si>
  <si>
    <t>It is expected that there will be a number of high value events, each costing £0.5m. It is assumed that the volume of these follow a poisson distribution with a mean of 5.</t>
  </si>
  <si>
    <t>Step 6 e: Calculate impact based on range and normal distribution</t>
  </si>
  <si>
    <t>Controls</t>
  </si>
  <si>
    <t>Overview</t>
  </si>
  <si>
    <t>Analyst(s)</t>
  </si>
  <si>
    <t>Andrew Taylor</t>
  </si>
  <si>
    <t>Commissioner/Customer</t>
  </si>
  <si>
    <t>Purpose</t>
  </si>
  <si>
    <t>Contents</t>
  </si>
  <si>
    <t>Worksheet</t>
  </si>
  <si>
    <t>Description</t>
  </si>
  <si>
    <t>Calculations</t>
  </si>
  <si>
    <t>Latest Agreed Version</t>
  </si>
  <si>
    <t>Version</t>
  </si>
  <si>
    <t>Date of Sign-Off</t>
  </si>
  <si>
    <t>Version Control</t>
  </si>
  <si>
    <t>Based on Version</t>
  </si>
  <si>
    <t>Date</t>
  </si>
  <si>
    <t>Analyst</t>
  </si>
  <si>
    <t>Description of Changes</t>
  </si>
  <si>
    <t>Impact of Changes</t>
  </si>
  <si>
    <t>Initial version of workbook</t>
  </si>
  <si>
    <t>Communicating Uncertainty Working Group</t>
  </si>
  <si>
    <t>To provide an example of how Monte Carlo analysis can be used to get an overall picture of the uncertainty in a figure</t>
  </si>
  <si>
    <t>Register</t>
  </si>
  <si>
    <t>Inputs</t>
  </si>
  <si>
    <t>Outputs</t>
  </si>
  <si>
    <t>Model Output</t>
  </si>
  <si>
    <t>Contains input assumptions about the factors that drive variance in the analysis</t>
  </si>
  <si>
    <t>Contains parameters used in running the model</t>
  </si>
  <si>
    <t>Runs a single scenario based on the details in the register tab.</t>
  </si>
  <si>
    <t>Contains the outputs of the run, and any additional overlays that may be applied</t>
  </si>
  <si>
    <t>A full list of the results of each run</t>
  </si>
  <si>
    <t>A summary aggregating the results into an overall distribution.</t>
  </si>
  <si>
    <t>Drop down lists - see user guide for more details on the extact rules</t>
  </si>
  <si>
    <t>Min Probability</t>
  </si>
  <si>
    <t>Max Probability</t>
  </si>
  <si>
    <t>Average Probability</t>
  </si>
  <si>
    <t>Additional functionality following QA</t>
  </si>
  <si>
    <t>To record information about the purpose of the analysis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</si>
</sst>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 #,##0.00_-;_-* &quot;-&quot;??_-;_-@_-"/>
    <numFmt numFmtId="164" formatCode="0.0"/>
    <numFmt numFmtId="165" formatCode="&quot;£&quot;#,##0&quot;m&quot;;\(&quot;£&quot;#,##0&quot;m&quot;\);&quot;-&quot;"/>
    <numFmt numFmtId="166" formatCode="0.0000%"/>
    <numFmt numFmtId="167" formatCode="&quot;£&quot;#,##0.0&quot;m&quot;;\(&quot;£&quot;#,##0.0&quot;m&quot;\);&quot;-&quot;"/>
  </numFmts>
  <fonts count="42" x14ac:knownFonts="1">
    <font>
      <sz val="11"/>
      <color theme="1"/>
      <name val="Calibri"/>
      <family val="2"/>
      <scheme val="minor"/>
    </font>
    <font>
      <sz val="11"/>
      <color theme="1"/>
      <name val="Calibri"/>
      <family val="2"/>
      <scheme val="minor"/>
    </font>
    <font>
      <sz val="10"/>
      <name val="Arial"/>
      <family val="2"/>
    </font>
    <font>
      <sz val="11"/>
      <name val="Arial"/>
      <family val="2"/>
    </font>
    <font>
      <b/>
      <sz val="9"/>
      <color indexed="81"/>
      <name val="Tahoma"/>
      <family val="2"/>
    </font>
    <font>
      <sz val="9"/>
      <color indexed="81"/>
      <name val="Tahoma"/>
      <family val="2"/>
    </font>
    <font>
      <sz val="11"/>
      <color theme="1"/>
      <name val="Arial"/>
      <family val="2"/>
    </font>
    <font>
      <i/>
      <sz val="11"/>
      <color rgb="FF0070C0"/>
      <name val="Arial"/>
      <family val="2"/>
    </font>
    <font>
      <b/>
      <sz val="11"/>
      <color theme="1"/>
      <name val="Arial"/>
      <family val="2"/>
    </font>
    <font>
      <b/>
      <u/>
      <sz val="11"/>
      <color theme="1"/>
      <name val="Arial"/>
      <family val="2"/>
    </font>
    <font>
      <i/>
      <sz val="11"/>
      <name val="Arial"/>
      <family val="2"/>
    </font>
    <font>
      <i/>
      <sz val="11"/>
      <color theme="1"/>
      <name val="Arial"/>
      <family val="2"/>
    </font>
    <font>
      <b/>
      <sz val="11"/>
      <color theme="1"/>
      <name val="Calibri"/>
      <family val="2"/>
      <scheme val="minor"/>
    </font>
    <font>
      <sz val="11"/>
      <color rgb="FFFF0000"/>
      <name val="Arial"/>
      <family val="2"/>
    </font>
    <font>
      <sz val="8"/>
      <name val="Arial"/>
      <family val="2"/>
    </font>
    <font>
      <sz val="11"/>
      <color theme="0" tint="-0.249977111117893"/>
      <name val="Calibri"/>
      <family val="2"/>
    </font>
    <font>
      <i/>
      <u/>
      <sz val="11"/>
      <color theme="1"/>
      <name val="Arial"/>
      <family val="2"/>
    </font>
    <font>
      <b/>
      <sz val="11"/>
      <color rgb="FFFF0000"/>
      <name val="Arial"/>
      <family val="2"/>
    </font>
    <font>
      <sz val="11"/>
      <name val="Calibri"/>
      <family val="2"/>
    </font>
    <font>
      <b/>
      <u/>
      <sz val="11"/>
      <color theme="1"/>
      <name val="Calibri"/>
      <family val="2"/>
      <scheme val="minor"/>
    </font>
    <font>
      <sz val="10"/>
      <color theme="1"/>
      <name val="Arial"/>
      <family val="2"/>
    </font>
    <font>
      <sz val="10"/>
      <color rgb="FFFF0000"/>
      <name val="Arial"/>
      <family val="2"/>
    </font>
    <font>
      <sz val="10"/>
      <color theme="0" tint="-0.14999847407452621"/>
      <name val="Arial"/>
      <family val="2"/>
    </font>
    <font>
      <sz val="12"/>
      <color theme="1"/>
      <name val="Calibri"/>
      <family val="2"/>
      <scheme val="minor"/>
    </font>
    <font>
      <b/>
      <sz val="12"/>
      <color theme="0"/>
      <name val="Calibri"/>
      <family val="2"/>
      <scheme val="minor"/>
    </font>
    <font>
      <b/>
      <sz val="12"/>
      <color rgb="FF000000"/>
      <name val="Calibri"/>
      <family val="2"/>
      <scheme val="minor"/>
    </font>
    <font>
      <sz val="12"/>
      <name val="Calibri"/>
      <family val="2"/>
      <scheme val="minor"/>
    </font>
    <font>
      <i/>
      <sz val="10"/>
      <color rgb="FF0070C0"/>
      <name val="Arial"/>
      <family val="2"/>
    </font>
    <font>
      <sz val="11"/>
      <color theme="0" tint="-0.14999847407452621"/>
      <name val="Arial"/>
      <family val="2"/>
    </font>
    <font>
      <sz val="11"/>
      <color rgb="FF9C6500"/>
      <name val="Calibri"/>
      <family val="2"/>
      <scheme val="minor"/>
    </font>
    <font>
      <u/>
      <sz val="11"/>
      <color theme="10"/>
      <name val="Calibri"/>
      <family val="2"/>
      <scheme val="minor"/>
    </font>
    <font>
      <sz val="10"/>
      <name val="Arial"/>
    </font>
    <font>
      <b/>
      <sz val="12"/>
      <name val="Arial"/>
      <family val="2"/>
    </font>
    <font>
      <sz val="10"/>
      <color indexed="9"/>
      <name val="Arial"/>
      <family val="2"/>
    </font>
    <font>
      <b/>
      <sz val="10"/>
      <name val="Arial"/>
      <family val="2"/>
    </font>
    <font>
      <b/>
      <sz val="12"/>
      <color indexed="8"/>
      <name val="Arial"/>
      <family val="2"/>
    </font>
    <font>
      <b/>
      <sz val="10"/>
      <color indexed="8"/>
      <name val="Arial"/>
      <family val="2"/>
    </font>
    <font>
      <i/>
      <sz val="10"/>
      <color indexed="63"/>
      <name val="Arial"/>
      <family val="2"/>
    </font>
    <font>
      <i/>
      <sz val="10"/>
      <name val="Arial"/>
      <family val="2"/>
    </font>
    <font>
      <b/>
      <sz val="11"/>
      <name val="Arial"/>
      <family val="2"/>
    </font>
    <font>
      <u/>
      <sz val="10"/>
      <color indexed="12"/>
      <name val="Arial"/>
      <family val="2"/>
    </font>
    <font>
      <u/>
      <sz val="10"/>
      <color theme="10"/>
      <name val="Arial"/>
      <family val="2"/>
    </font>
  </fonts>
  <fills count="16">
    <fill>
      <patternFill patternType="none"/>
    </fill>
    <fill>
      <patternFill patternType="gray125"/>
    </fill>
    <fill>
      <patternFill patternType="solid">
        <fgColor theme="9"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indexed="4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4" tint="-0.499984740745262"/>
        <bgColor indexed="64"/>
      </patternFill>
    </fill>
    <fill>
      <patternFill patternType="solid">
        <fgColor rgb="FFFFEB9C"/>
      </patternFill>
    </fill>
    <fill>
      <patternFill patternType="solid">
        <fgColor indexed="44"/>
        <bgColor indexed="64"/>
      </patternFill>
    </fill>
    <fill>
      <patternFill patternType="solid">
        <fgColor indexed="42"/>
        <bgColor indexed="64"/>
      </patternFill>
    </fill>
    <fill>
      <patternFill patternType="solid">
        <fgColor indexed="43"/>
        <bgColor indexed="64"/>
      </patternFill>
    </fill>
    <fill>
      <patternFill patternType="solid">
        <fgColor rgb="FFFFCC66"/>
        <bgColor indexed="64"/>
      </patternFill>
    </fill>
  </fills>
  <borders count="17">
    <border>
      <left/>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style="thin">
        <color indexed="64"/>
      </top>
      <bottom style="medium">
        <color indexed="64"/>
      </bottom>
      <diagonal/>
    </border>
    <border>
      <left/>
      <right/>
      <top/>
      <bottom style="thin">
        <color indexed="23"/>
      </bottom>
      <diagonal/>
    </border>
    <border>
      <left style="thin">
        <color indexed="23"/>
      </left>
      <right style="thin">
        <color indexed="23"/>
      </right>
      <top style="thin">
        <color indexed="23"/>
      </top>
      <bottom style="thin">
        <color indexed="23"/>
      </bottom>
      <diagonal/>
    </border>
    <border>
      <left style="thin">
        <color indexed="23"/>
      </left>
      <right/>
      <top style="thin">
        <color indexed="23"/>
      </top>
      <bottom style="thin">
        <color indexed="23"/>
      </bottom>
      <diagonal/>
    </border>
    <border>
      <left/>
      <right/>
      <top style="thin">
        <color indexed="23"/>
      </top>
      <bottom style="thin">
        <color indexed="23"/>
      </bottom>
      <diagonal/>
    </border>
    <border>
      <left/>
      <right style="thin">
        <color indexed="23"/>
      </right>
      <top style="thin">
        <color indexed="23"/>
      </top>
      <bottom style="thin">
        <color indexed="23"/>
      </bottom>
      <diagonal/>
    </border>
  </borders>
  <cellStyleXfs count="13">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2" fillId="0" borderId="0"/>
    <xf numFmtId="0" fontId="14" fillId="7" borderId="0">
      <alignment vertical="top"/>
    </xf>
    <xf numFmtId="0" fontId="2" fillId="0" borderId="0"/>
    <xf numFmtId="43" fontId="2" fillId="0" borderId="0" applyFont="0" applyFill="0" applyBorder="0" applyAlignment="0" applyProtection="0"/>
    <xf numFmtId="0" fontId="1" fillId="0" borderId="0"/>
    <xf numFmtId="9" fontId="1" fillId="0" borderId="0" applyFont="0" applyFill="0" applyBorder="0" applyAlignment="0" applyProtection="0"/>
    <xf numFmtId="0" fontId="29" fillId="11" borderId="0" applyNumberFormat="0" applyBorder="0" applyAlignment="0" applyProtection="0"/>
    <xf numFmtId="0" fontId="30" fillId="0" borderId="0" applyNumberFormat="0" applyFill="0" applyBorder="0" applyAlignment="0" applyProtection="0"/>
    <xf numFmtId="0" fontId="31" fillId="0" borderId="0"/>
    <xf numFmtId="0" fontId="40" fillId="0" borderId="0" applyNumberFormat="0" applyFill="0" applyBorder="0" applyAlignment="0" applyProtection="0"/>
  </cellStyleXfs>
  <cellXfs count="199">
    <xf numFmtId="0" fontId="0" fillId="0" borderId="0" xfId="0"/>
    <xf numFmtId="0" fontId="6" fillId="5" borderId="0" xfId="0" applyFont="1" applyFill="1"/>
    <xf numFmtId="3" fontId="6" fillId="5" borderId="0" xfId="0" applyNumberFormat="1" applyFont="1" applyFill="1"/>
    <xf numFmtId="0" fontId="9" fillId="5" borderId="0" xfId="0" applyFont="1" applyFill="1"/>
    <xf numFmtId="0" fontId="10" fillId="5" borderId="0" xfId="0" applyFont="1" applyFill="1"/>
    <xf numFmtId="0" fontId="11" fillId="5" borderId="0" xfId="0" applyFont="1" applyFill="1"/>
    <xf numFmtId="0" fontId="6" fillId="0" borderId="0" xfId="0" applyFont="1"/>
    <xf numFmtId="3" fontId="6" fillId="0" borderId="0" xfId="0" applyNumberFormat="1" applyFont="1"/>
    <xf numFmtId="1" fontId="6" fillId="5" borderId="0" xfId="0" applyNumberFormat="1" applyFont="1" applyFill="1"/>
    <xf numFmtId="3" fontId="6" fillId="5" borderId="0" xfId="0" applyNumberFormat="1" applyFont="1" applyFill="1" applyAlignment="1">
      <alignment horizontal="right"/>
    </xf>
    <xf numFmtId="0" fontId="15" fillId="5" borderId="0" xfId="0" applyFont="1" applyFill="1"/>
    <xf numFmtId="0" fontId="8" fillId="5" borderId="0" xfId="0" applyFont="1" applyFill="1"/>
    <xf numFmtId="9" fontId="8" fillId="5" borderId="0" xfId="1" applyFont="1" applyFill="1"/>
    <xf numFmtId="0" fontId="16" fillId="5" borderId="0" xfId="0" applyFont="1" applyFill="1"/>
    <xf numFmtId="0" fontId="6" fillId="2" borderId="0" xfId="0" applyFont="1" applyFill="1"/>
    <xf numFmtId="0" fontId="8" fillId="5" borderId="0" xfId="0" applyFont="1" applyFill="1" applyAlignment="1">
      <alignment horizontal="right"/>
    </xf>
    <xf numFmtId="0" fontId="8" fillId="2" borderId="0" xfId="0" applyFont="1" applyFill="1"/>
    <xf numFmtId="0" fontId="11" fillId="2" borderId="0" xfId="0" applyFont="1" applyFill="1"/>
    <xf numFmtId="0" fontId="9" fillId="0" borderId="0" xfId="0" applyFont="1"/>
    <xf numFmtId="0" fontId="0" fillId="0" borderId="5" xfId="0" applyBorder="1"/>
    <xf numFmtId="0" fontId="0" fillId="0" borderId="1" xfId="0" applyBorder="1"/>
    <xf numFmtId="0" fontId="19" fillId="0" borderId="0" xfId="0" applyFont="1"/>
    <xf numFmtId="0" fontId="7" fillId="0" borderId="0" xfId="0" applyFont="1"/>
    <xf numFmtId="0" fontId="3" fillId="0" borderId="0" xfId="2" applyFont="1" applyProtection="1">
      <protection locked="0"/>
    </xf>
    <xf numFmtId="2" fontId="3" fillId="0" borderId="0" xfId="2" applyNumberFormat="1" applyFont="1" applyFill="1" applyAlignment="1" applyProtection="1">
      <alignment horizontal="right" vertical="top"/>
      <protection locked="0"/>
    </xf>
    <xf numFmtId="0" fontId="3" fillId="0" borderId="0" xfId="2" applyFont="1" applyFill="1" applyAlignment="1" applyProtection="1">
      <alignment horizontal="left" vertical="top"/>
      <protection locked="0"/>
    </xf>
    <xf numFmtId="1" fontId="3" fillId="0" borderId="0" xfId="2" applyNumberFormat="1" applyFont="1" applyFill="1" applyAlignment="1" applyProtection="1">
      <alignment horizontal="right" vertical="top"/>
      <protection locked="0"/>
    </xf>
    <xf numFmtId="0" fontId="10" fillId="0" borderId="0" xfId="2" applyFont="1" applyProtection="1">
      <protection locked="0"/>
    </xf>
    <xf numFmtId="0" fontId="17" fillId="0" borderId="0" xfId="0" applyFont="1" applyFill="1"/>
    <xf numFmtId="0" fontId="6" fillId="0" borderId="0" xfId="0" applyFont="1" applyFill="1"/>
    <xf numFmtId="0" fontId="2" fillId="5" borderId="0" xfId="3" applyFill="1"/>
    <xf numFmtId="0" fontId="2" fillId="4" borderId="0" xfId="3" applyFont="1" applyFill="1" applyAlignment="1"/>
    <xf numFmtId="0" fontId="2" fillId="4" borderId="0" xfId="3" applyFill="1" applyAlignment="1"/>
    <xf numFmtId="0" fontId="2" fillId="5" borderId="0" xfId="3" applyFill="1" applyAlignment="1"/>
    <xf numFmtId="0" fontId="22" fillId="5" borderId="0" xfId="3" applyFont="1" applyFill="1"/>
    <xf numFmtId="0" fontId="2" fillId="9" borderId="0" xfId="3" applyFont="1" applyFill="1" applyAlignment="1"/>
    <xf numFmtId="0" fontId="2" fillId="9" borderId="0" xfId="3" applyFill="1" applyAlignment="1"/>
    <xf numFmtId="0" fontId="22" fillId="5" borderId="0" xfId="3" applyFont="1" applyFill="1" applyBorder="1"/>
    <xf numFmtId="0" fontId="2" fillId="3" borderId="0" xfId="3" applyFont="1" applyFill="1" applyAlignment="1"/>
    <xf numFmtId="0" fontId="2" fillId="3" borderId="0" xfId="3" applyFill="1" applyAlignment="1"/>
    <xf numFmtId="0" fontId="2" fillId="5" borderId="0" xfId="3" applyFont="1" applyFill="1" applyAlignment="1"/>
    <xf numFmtId="0" fontId="2" fillId="2" borderId="0" xfId="3" applyFill="1" applyAlignment="1"/>
    <xf numFmtId="0" fontId="2" fillId="5" borderId="2" xfId="3" applyFill="1" applyBorder="1" applyAlignment="1" applyProtection="1">
      <alignment horizontal="center" vertical="top" wrapText="1"/>
      <protection locked="0"/>
    </xf>
    <xf numFmtId="0" fontId="2" fillId="2" borderId="2" xfId="3" applyFill="1" applyBorder="1" applyAlignment="1" applyProtection="1">
      <alignment horizontal="center" vertical="top" wrapText="1"/>
      <protection locked="0"/>
    </xf>
    <xf numFmtId="0" fontId="2" fillId="3" borderId="2" xfId="3" applyFont="1" applyFill="1" applyBorder="1" applyAlignment="1" applyProtection="1">
      <alignment horizontal="center" vertical="top" wrapText="1"/>
      <protection locked="0"/>
    </xf>
    <xf numFmtId="0" fontId="2" fillId="3" borderId="2" xfId="3" applyFont="1" applyFill="1" applyBorder="1" applyAlignment="1">
      <alignment horizontal="center" wrapText="1"/>
    </xf>
    <xf numFmtId="0" fontId="2" fillId="5" borderId="0" xfId="3" applyFill="1" applyAlignment="1" applyProtection="1">
      <alignment horizontal="center" vertical="top" wrapText="1"/>
      <protection locked="0"/>
    </xf>
    <xf numFmtId="0" fontId="2" fillId="5" borderId="2" xfId="3" applyFill="1" applyBorder="1" applyAlignment="1">
      <alignment wrapText="1"/>
    </xf>
    <xf numFmtId="0" fontId="2" fillId="5" borderId="0" xfId="3" applyFill="1" applyAlignment="1">
      <alignment wrapText="1"/>
    </xf>
    <xf numFmtId="0" fontId="2" fillId="4" borderId="2" xfId="3" applyFont="1" applyFill="1" applyBorder="1" applyAlignment="1">
      <alignment wrapText="1"/>
    </xf>
    <xf numFmtId="0" fontId="2" fillId="4" borderId="2" xfId="3" applyFill="1" applyBorder="1" applyAlignment="1">
      <alignment wrapText="1"/>
    </xf>
    <xf numFmtId="1" fontId="2" fillId="4" borderId="2" xfId="3" applyNumberFormat="1" applyFill="1" applyBorder="1" applyAlignment="1">
      <alignment wrapText="1"/>
    </xf>
    <xf numFmtId="0" fontId="2" fillId="4" borderId="2" xfId="3" applyFill="1" applyBorder="1"/>
    <xf numFmtId="1" fontId="2" fillId="4" borderId="2" xfId="3" applyNumberFormat="1" applyFill="1" applyBorder="1"/>
    <xf numFmtId="3" fontId="6" fillId="0" borderId="0" xfId="0" applyNumberFormat="1" applyFont="1" applyAlignment="1">
      <alignment horizontal="center" vertical="center" wrapText="1"/>
    </xf>
    <xf numFmtId="0" fontId="6" fillId="0" borderId="0" xfId="0" applyFont="1" applyAlignment="1">
      <alignment horizontal="center" vertical="center" wrapText="1"/>
    </xf>
    <xf numFmtId="0" fontId="3" fillId="2" borderId="0" xfId="2" applyFont="1" applyFill="1" applyAlignment="1" applyProtection="1">
      <alignment horizontal="center" vertical="center"/>
      <protection locked="0"/>
    </xf>
    <xf numFmtId="0" fontId="6" fillId="0" borderId="0" xfId="0" applyFont="1" applyAlignment="1"/>
    <xf numFmtId="0" fontId="7" fillId="0" borderId="0" xfId="0" applyFont="1" applyAlignment="1"/>
    <xf numFmtId="3" fontId="6" fillId="0" borderId="0" xfId="0" applyNumberFormat="1" applyFont="1" applyAlignment="1"/>
    <xf numFmtId="49" fontId="6" fillId="2" borderId="2" xfId="0" applyNumberFormat="1" applyFont="1" applyFill="1" applyBorder="1" applyAlignment="1">
      <alignment horizontal="center" vertical="center" wrapText="1"/>
    </xf>
    <xf numFmtId="0" fontId="17" fillId="0" borderId="0" xfId="0" applyFont="1" applyAlignment="1"/>
    <xf numFmtId="0" fontId="3" fillId="0" borderId="0" xfId="0" applyFont="1" applyFill="1"/>
    <xf numFmtId="0" fontId="6" fillId="0" borderId="0" xfId="0" applyFont="1" applyFill="1" applyBorder="1"/>
    <xf numFmtId="9" fontId="6" fillId="0" borderId="0" xfId="1" applyFont="1" applyFill="1" applyBorder="1"/>
    <xf numFmtId="0" fontId="11" fillId="0" borderId="0" xfId="0" applyFont="1"/>
    <xf numFmtId="0" fontId="10" fillId="0" borderId="0" xfId="0" applyFont="1" applyFill="1"/>
    <xf numFmtId="0" fontId="2" fillId="6" borderId="0" xfId="3" applyFill="1"/>
    <xf numFmtId="0" fontId="21" fillId="5" borderId="0" xfId="3" applyFont="1" applyFill="1" applyAlignment="1"/>
    <xf numFmtId="0" fontId="2" fillId="8" borderId="2" xfId="3" applyFill="1" applyBorder="1" applyAlignment="1">
      <alignment wrapText="1"/>
    </xf>
    <xf numFmtId="0" fontId="2" fillId="8" borderId="2" xfId="3" applyFont="1" applyFill="1" applyBorder="1" applyAlignment="1">
      <alignment wrapText="1"/>
    </xf>
    <xf numFmtId="1" fontId="2" fillId="8" borderId="2" xfId="3" applyNumberFormat="1" applyFill="1" applyBorder="1" applyAlignment="1">
      <alignment wrapText="1"/>
    </xf>
    <xf numFmtId="0" fontId="2" fillId="8" borderId="0" xfId="3" applyFill="1" applyAlignment="1">
      <alignment wrapText="1"/>
    </xf>
    <xf numFmtId="0" fontId="12" fillId="0" borderId="3" xfId="0" applyFont="1" applyBorder="1"/>
    <xf numFmtId="0" fontId="12" fillId="0" borderId="8" xfId="0" applyFont="1" applyBorder="1"/>
    <xf numFmtId="3" fontId="13" fillId="0" borderId="0" xfId="0" applyNumberFormat="1" applyFont="1" applyFill="1" applyAlignment="1"/>
    <xf numFmtId="164" fontId="2" fillId="4" borderId="2" xfId="3" applyNumberFormat="1" applyFill="1" applyBorder="1" applyAlignment="1">
      <alignment wrapText="1"/>
    </xf>
    <xf numFmtId="0" fontId="2" fillId="5" borderId="8" xfId="3" applyFill="1" applyBorder="1" applyAlignment="1" applyProtection="1">
      <alignment horizontal="center" vertical="top" wrapText="1"/>
      <protection locked="0"/>
    </xf>
    <xf numFmtId="0" fontId="2" fillId="8" borderId="8" xfId="3" applyFill="1" applyBorder="1" applyAlignment="1">
      <alignment wrapText="1"/>
    </xf>
    <xf numFmtId="0" fontId="2" fillId="5" borderId="0" xfId="3" applyFill="1" applyAlignment="1">
      <alignment horizontal="center"/>
    </xf>
    <xf numFmtId="0" fontId="2" fillId="8" borderId="2" xfId="3" applyFill="1" applyBorder="1" applyAlignment="1">
      <alignment horizontal="center" wrapText="1"/>
    </xf>
    <xf numFmtId="0" fontId="2" fillId="4" borderId="2" xfId="3" applyFill="1" applyBorder="1" applyAlignment="1">
      <alignment horizontal="center" wrapText="1"/>
    </xf>
    <xf numFmtId="0" fontId="2" fillId="8" borderId="2" xfId="3" applyFill="1" applyBorder="1"/>
    <xf numFmtId="1" fontId="2" fillId="8" borderId="2" xfId="3" applyNumberFormat="1" applyFill="1" applyBorder="1"/>
    <xf numFmtId="0" fontId="2" fillId="4" borderId="0" xfId="3" applyFill="1" applyAlignment="1">
      <alignment wrapText="1"/>
    </xf>
    <xf numFmtId="1" fontId="6" fillId="0" borderId="2" xfId="0" applyNumberFormat="1" applyFont="1" applyFill="1" applyBorder="1" applyAlignment="1"/>
    <xf numFmtId="0" fontId="3" fillId="0" borderId="2" xfId="3" applyFont="1" applyFill="1" applyBorder="1" applyAlignment="1"/>
    <xf numFmtId="0" fontId="3" fillId="2" borderId="2" xfId="3" applyFont="1" applyFill="1" applyBorder="1" applyAlignment="1" applyProtection="1">
      <alignment horizontal="center" vertical="center" wrapText="1"/>
      <protection locked="0"/>
    </xf>
    <xf numFmtId="0" fontId="6" fillId="0" borderId="0" xfId="0" applyFont="1" applyFill="1" applyAlignment="1">
      <alignment horizontal="center" vertical="center" wrapText="1"/>
    </xf>
    <xf numFmtId="0" fontId="28" fillId="0" borderId="0" xfId="0" applyFont="1" applyFill="1" applyBorder="1"/>
    <xf numFmtId="0" fontId="28" fillId="0" borderId="0" xfId="0" applyFont="1"/>
    <xf numFmtId="0" fontId="28" fillId="0" borderId="0" xfId="3" applyFont="1" applyFill="1"/>
    <xf numFmtId="1" fontId="2" fillId="8" borderId="2" xfId="3" applyNumberFormat="1" applyFill="1" applyBorder="1" applyAlignment="1"/>
    <xf numFmtId="2" fontId="2" fillId="8" borderId="2" xfId="3" applyNumberFormat="1" applyFill="1" applyBorder="1" applyAlignment="1">
      <alignment wrapText="1"/>
    </xf>
    <xf numFmtId="0" fontId="2" fillId="8" borderId="2" xfId="3" applyFill="1" applyBorder="1" applyAlignment="1">
      <alignment horizontal="left" wrapText="1"/>
    </xf>
    <xf numFmtId="0" fontId="20" fillId="8" borderId="2" xfId="7" applyFont="1" applyFill="1" applyBorder="1" applyAlignment="1">
      <alignment vertical="center" wrapText="1"/>
    </xf>
    <xf numFmtId="14" fontId="2" fillId="8" borderId="2" xfId="3" applyNumberFormat="1" applyFill="1" applyBorder="1" applyAlignment="1">
      <alignment horizontal="center" wrapText="1"/>
    </xf>
    <xf numFmtId="0" fontId="23" fillId="5" borderId="0" xfId="0" applyFont="1" applyFill="1"/>
    <xf numFmtId="0" fontId="23" fillId="5" borderId="0" xfId="0" applyFont="1" applyFill="1" applyBorder="1"/>
    <xf numFmtId="0" fontId="24" fillId="10" borderId="0" xfId="0" applyFont="1" applyFill="1" applyBorder="1" applyAlignment="1">
      <alignment vertical="center" wrapText="1"/>
    </xf>
    <xf numFmtId="0" fontId="23" fillId="5" borderId="0" xfId="0" applyFont="1" applyFill="1" applyAlignment="1">
      <alignment wrapText="1"/>
    </xf>
    <xf numFmtId="0" fontId="8" fillId="0" borderId="0" xfId="0" applyFont="1" applyAlignment="1"/>
    <xf numFmtId="3" fontId="8" fillId="0" borderId="0" xfId="0" applyNumberFormat="1" applyFont="1" applyAlignment="1"/>
    <xf numFmtId="166" fontId="6" fillId="0" borderId="0" xfId="1" applyNumberFormat="1" applyFont="1"/>
    <xf numFmtId="0" fontId="26" fillId="0" borderId="2" xfId="0" applyFont="1" applyFill="1" applyBorder="1" applyAlignment="1">
      <alignment horizontal="left" vertical="center" wrapText="1" readingOrder="1"/>
    </xf>
    <xf numFmtId="0" fontId="9" fillId="0" borderId="0" xfId="0" applyFont="1" applyFill="1"/>
    <xf numFmtId="1" fontId="6" fillId="0" borderId="0" xfId="0" applyNumberFormat="1" applyFont="1" applyFill="1" applyBorder="1"/>
    <xf numFmtId="1" fontId="6" fillId="0" borderId="0" xfId="0" applyNumberFormat="1" applyFont="1"/>
    <xf numFmtId="0" fontId="6" fillId="0" borderId="4" xfId="0" applyFont="1" applyBorder="1" applyAlignment="1"/>
    <xf numFmtId="165" fontId="26" fillId="0" borderId="2" xfId="0" applyNumberFormat="1" applyFont="1" applyFill="1" applyBorder="1" applyAlignment="1">
      <alignment horizontal="center" vertical="center"/>
    </xf>
    <xf numFmtId="0" fontId="25" fillId="0" borderId="2" xfId="0" applyFont="1" applyFill="1" applyBorder="1" applyAlignment="1">
      <alignment horizontal="center" vertical="center" wrapText="1" readingOrder="1"/>
    </xf>
    <xf numFmtId="0" fontId="25" fillId="0" borderId="2" xfId="0" applyFont="1" applyFill="1" applyBorder="1" applyAlignment="1">
      <alignment horizontal="left" vertical="center" wrapText="1" readingOrder="1"/>
    </xf>
    <xf numFmtId="0" fontId="23" fillId="0" borderId="2" xfId="0" applyFont="1" applyFill="1" applyBorder="1" applyAlignment="1">
      <alignment horizontal="left" vertical="center" wrapText="1" readingOrder="1"/>
    </xf>
    <xf numFmtId="2" fontId="3" fillId="0" borderId="2" xfId="2" applyNumberFormat="1" applyFont="1" applyFill="1" applyBorder="1" applyAlignment="1" applyProtection="1">
      <alignment horizontal="right" vertical="top"/>
      <protection locked="0"/>
    </xf>
    <xf numFmtId="1" fontId="3" fillId="0" borderId="2" xfId="2" applyNumberFormat="1" applyFont="1" applyFill="1" applyBorder="1" applyAlignment="1" applyProtection="1">
      <alignment horizontal="right" vertical="top"/>
      <protection locked="0"/>
    </xf>
    <xf numFmtId="0" fontId="6" fillId="0" borderId="2" xfId="0" applyFont="1" applyBorder="1"/>
    <xf numFmtId="2" fontId="0" fillId="0" borderId="9" xfId="0" applyNumberFormat="1" applyBorder="1"/>
    <xf numFmtId="2" fontId="0" fillId="0" borderId="0" xfId="0" applyNumberFormat="1" applyBorder="1"/>
    <xf numFmtId="2" fontId="0" fillId="0" borderId="4" xfId="0" applyNumberFormat="1" applyBorder="1"/>
    <xf numFmtId="0" fontId="12" fillId="0" borderId="0" xfId="0" applyFont="1"/>
    <xf numFmtId="2" fontId="0" fillId="6" borderId="9" xfId="0" applyNumberFormat="1" applyFill="1" applyBorder="1"/>
    <xf numFmtId="2" fontId="0" fillId="6" borderId="10" xfId="0" applyNumberFormat="1" applyFill="1" applyBorder="1"/>
    <xf numFmtId="2" fontId="0" fillId="6" borderId="0" xfId="0" applyNumberFormat="1" applyFill="1" applyBorder="1"/>
    <xf numFmtId="2" fontId="0" fillId="6" borderId="6" xfId="0" applyNumberFormat="1" applyFill="1" applyBorder="1"/>
    <xf numFmtId="2" fontId="0" fillId="0" borderId="4" xfId="0" applyNumberFormat="1" applyFill="1" applyBorder="1"/>
    <xf numFmtId="2" fontId="0" fillId="0" borderId="7" xfId="0" applyNumberFormat="1" applyFill="1" applyBorder="1"/>
    <xf numFmtId="0" fontId="0" fillId="0" borderId="2" xfId="0" applyBorder="1"/>
    <xf numFmtId="0" fontId="0" fillId="0" borderId="3" xfId="0" applyBorder="1"/>
    <xf numFmtId="0" fontId="0" fillId="0" borderId="2" xfId="0" applyFont="1" applyFill="1" applyBorder="1"/>
    <xf numFmtId="0" fontId="12" fillId="0" borderId="2" xfId="0" applyFont="1" applyBorder="1"/>
    <xf numFmtId="0" fontId="3" fillId="2" borderId="2" xfId="2" applyFont="1" applyFill="1" applyBorder="1" applyAlignment="1" applyProtection="1">
      <alignment horizontal="center" vertical="center"/>
      <protection locked="0"/>
    </xf>
    <xf numFmtId="0" fontId="8" fillId="5" borderId="2" xfId="0" applyFont="1" applyFill="1" applyBorder="1"/>
    <xf numFmtId="0" fontId="6" fillId="5" borderId="2" xfId="0" applyFont="1" applyFill="1" applyBorder="1"/>
    <xf numFmtId="164" fontId="6" fillId="5" borderId="2" xfId="0" applyNumberFormat="1" applyFont="1" applyFill="1" applyBorder="1"/>
    <xf numFmtId="164" fontId="8" fillId="5" borderId="2" xfId="0" applyNumberFormat="1" applyFont="1" applyFill="1" applyBorder="1"/>
    <xf numFmtId="2" fontId="6" fillId="5" borderId="2" xfId="0" applyNumberFormat="1" applyFont="1" applyFill="1" applyBorder="1"/>
    <xf numFmtId="0" fontId="18" fillId="6" borderId="2" xfId="0" applyFont="1" applyFill="1" applyBorder="1"/>
    <xf numFmtId="0" fontId="6" fillId="0" borderId="0" xfId="0" applyFont="1" applyBorder="1" applyAlignment="1"/>
    <xf numFmtId="0" fontId="26" fillId="0" borderId="2" xfId="0" applyNumberFormat="1" applyFont="1" applyFill="1" applyBorder="1" applyAlignment="1">
      <alignment horizontal="center" vertical="center"/>
    </xf>
    <xf numFmtId="167" fontId="26" fillId="0" borderId="2" xfId="0" applyNumberFormat="1" applyFont="1" applyFill="1" applyBorder="1" applyAlignment="1">
      <alignment horizontal="center" vertical="center"/>
    </xf>
    <xf numFmtId="0" fontId="2" fillId="0" borderId="0" xfId="11" applyFont="1" applyFill="1" applyBorder="1"/>
    <xf numFmtId="0" fontId="33" fillId="0" borderId="0" xfId="11" applyFont="1" applyFill="1" applyBorder="1"/>
    <xf numFmtId="0" fontId="2" fillId="0" borderId="4" xfId="11" applyFont="1" applyFill="1" applyBorder="1"/>
    <xf numFmtId="0" fontId="34" fillId="0" borderId="4" xfId="11" applyFont="1" applyFill="1" applyBorder="1" applyAlignment="1">
      <alignment horizontal="center"/>
    </xf>
    <xf numFmtId="0" fontId="34" fillId="0" borderId="4" xfId="11" applyFont="1" applyFill="1" applyBorder="1" applyAlignment="1"/>
    <xf numFmtId="0" fontId="33" fillId="0" borderId="4" xfId="11" applyFont="1" applyFill="1" applyBorder="1"/>
    <xf numFmtId="0" fontId="2" fillId="12" borderId="11" xfId="11" applyFont="1" applyFill="1" applyBorder="1"/>
    <xf numFmtId="0" fontId="2" fillId="0" borderId="0" xfId="11" applyFont="1" applyFill="1" applyBorder="1" applyProtection="1">
      <protection locked="0"/>
    </xf>
    <xf numFmtId="0" fontId="35" fillId="0" borderId="12" xfId="11" applyFont="1" applyFill="1" applyBorder="1" applyAlignment="1" applyProtection="1">
      <protection locked="0"/>
    </xf>
    <xf numFmtId="0" fontId="36" fillId="0" borderId="12" xfId="11" applyFont="1" applyFill="1" applyBorder="1" applyAlignment="1" applyProtection="1">
      <protection locked="0"/>
    </xf>
    <xf numFmtId="0" fontId="34" fillId="0" borderId="0" xfId="11" applyFont="1" applyBorder="1" applyAlignment="1" applyProtection="1">
      <alignment horizontal="left"/>
      <protection locked="0"/>
    </xf>
    <xf numFmtId="0" fontId="2" fillId="0" borderId="0" xfId="11" applyFont="1" applyProtection="1">
      <protection locked="0"/>
    </xf>
    <xf numFmtId="0" fontId="34" fillId="0" borderId="13" xfId="4" applyFont="1" applyFill="1" applyBorder="1" applyProtection="1">
      <alignment vertical="top"/>
      <protection locked="0"/>
    </xf>
    <xf numFmtId="0" fontId="2" fillId="0" borderId="0" xfId="11" applyFont="1" applyBorder="1" applyProtection="1">
      <protection locked="0"/>
    </xf>
    <xf numFmtId="0" fontId="34" fillId="0" borderId="0" xfId="4" applyFont="1" applyFill="1" applyBorder="1" applyProtection="1">
      <alignment vertical="top"/>
      <protection locked="0"/>
    </xf>
    <xf numFmtId="0" fontId="2" fillId="0" borderId="0" xfId="4" applyFont="1" applyFill="1" applyBorder="1" applyAlignment="1" applyProtection="1">
      <alignment horizontal="left" vertical="top"/>
      <protection locked="0"/>
    </xf>
    <xf numFmtId="0" fontId="32" fillId="0" borderId="0" xfId="11" applyFont="1" applyBorder="1" applyAlignment="1" applyProtection="1">
      <alignment horizontal="left"/>
      <protection locked="0"/>
    </xf>
    <xf numFmtId="0" fontId="39" fillId="0" borderId="13" xfId="11" applyFont="1" applyBorder="1" applyAlignment="1" applyProtection="1">
      <alignment horizontal="left"/>
      <protection locked="0"/>
    </xf>
    <xf numFmtId="0" fontId="34" fillId="0" borderId="0" xfId="11" applyFont="1" applyBorder="1" applyAlignment="1" applyProtection="1">
      <protection locked="0"/>
    </xf>
    <xf numFmtId="0" fontId="40" fillId="0" borderId="0" xfId="12" applyFont="1" applyFill="1" applyBorder="1" applyAlignment="1" applyProtection="1">
      <alignment vertical="top"/>
      <protection locked="0"/>
    </xf>
    <xf numFmtId="0" fontId="34" fillId="0" borderId="13" xfId="11" applyFont="1" applyBorder="1" applyAlignment="1" applyProtection="1">
      <alignment horizontal="center"/>
      <protection locked="0"/>
    </xf>
    <xf numFmtId="14" fontId="2" fillId="0" borderId="13" xfId="11" applyNumberFormat="1" applyFont="1" applyBorder="1" applyAlignment="1" applyProtection="1">
      <alignment horizontal="center" wrapText="1"/>
      <protection locked="0"/>
    </xf>
    <xf numFmtId="0" fontId="2" fillId="0" borderId="0" xfId="11" applyFont="1" applyBorder="1" applyAlignment="1" applyProtection="1">
      <alignment horizontal="center"/>
      <protection locked="0"/>
    </xf>
    <xf numFmtId="0" fontId="32" fillId="0" borderId="0" xfId="11" applyFont="1" applyProtection="1">
      <protection locked="0"/>
    </xf>
    <xf numFmtId="0" fontId="34" fillId="0" borderId="13" xfId="11" applyFont="1" applyFill="1" applyBorder="1" applyAlignment="1" applyProtection="1">
      <alignment horizontal="center"/>
      <protection locked="0"/>
    </xf>
    <xf numFmtId="0" fontId="37" fillId="0" borderId="13" xfId="11" applyFont="1" applyFill="1" applyBorder="1" applyAlignment="1" applyProtection="1">
      <alignment horizontal="left" vertical="center" wrapText="1"/>
      <protection locked="0"/>
    </xf>
    <xf numFmtId="0" fontId="37" fillId="0" borderId="13" xfId="11" applyFont="1" applyBorder="1" applyAlignment="1" applyProtection="1">
      <alignment horizontal="left" vertical="center" wrapText="1"/>
      <protection locked="0"/>
    </xf>
    <xf numFmtId="14" fontId="37" fillId="0" borderId="13" xfId="11" applyNumberFormat="1" applyFont="1" applyFill="1" applyBorder="1" applyAlignment="1" applyProtection="1">
      <alignment horizontal="left" vertical="center" wrapText="1"/>
      <protection locked="0"/>
    </xf>
    <xf numFmtId="14" fontId="2" fillId="0" borderId="13" xfId="11" applyNumberFormat="1" applyFont="1" applyFill="1" applyBorder="1" applyAlignment="1" applyProtection="1">
      <alignment horizontal="left" vertical="center" wrapText="1"/>
      <protection locked="0"/>
    </xf>
    <xf numFmtId="0" fontId="2" fillId="0" borderId="13" xfId="11" applyFont="1" applyFill="1" applyBorder="1" applyAlignment="1" applyProtection="1">
      <alignment horizontal="left" vertical="center" wrapText="1"/>
      <protection locked="0"/>
    </xf>
    <xf numFmtId="0" fontId="2" fillId="0" borderId="13" xfId="11" applyFont="1" applyBorder="1" applyAlignment="1" applyProtection="1">
      <alignment horizontal="left" vertical="center" wrapText="1"/>
      <protection locked="0"/>
    </xf>
    <xf numFmtId="0" fontId="31" fillId="0" borderId="0" xfId="11"/>
    <xf numFmtId="0" fontId="30" fillId="13" borderId="13" xfId="10" applyFill="1" applyBorder="1" applyAlignment="1" applyProtection="1">
      <alignment vertical="top"/>
      <protection locked="0"/>
    </xf>
    <xf numFmtId="0" fontId="41" fillId="12" borderId="13" xfId="10" applyFont="1" applyFill="1" applyBorder="1" applyAlignment="1" applyProtection="1">
      <alignment vertical="top"/>
      <protection locked="0"/>
    </xf>
    <xf numFmtId="0" fontId="41" fillId="13" borderId="13" xfId="10" applyFont="1" applyFill="1" applyBorder="1" applyAlignment="1" applyProtection="1">
      <alignment vertical="top"/>
      <protection locked="0"/>
    </xf>
    <xf numFmtId="0" fontId="30" fillId="14" borderId="13" xfId="10" applyFill="1" applyBorder="1" applyAlignment="1" applyProtection="1">
      <alignment vertical="top"/>
      <protection locked="0"/>
    </xf>
    <xf numFmtId="0" fontId="30" fillId="15" borderId="13" xfId="10" applyFill="1" applyBorder="1" applyAlignment="1" applyProtection="1">
      <alignment vertical="top"/>
      <protection locked="0"/>
    </xf>
    <xf numFmtId="164" fontId="37" fillId="0" borderId="13" xfId="11" applyNumberFormat="1" applyFont="1" applyBorder="1" applyAlignment="1" applyProtection="1">
      <alignment horizontal="left" vertical="center" wrapText="1"/>
      <protection locked="0"/>
    </xf>
    <xf numFmtId="164" fontId="37" fillId="0" borderId="13" xfId="11" applyNumberFormat="1" applyFont="1" applyFill="1" applyBorder="1" applyAlignment="1" applyProtection="1">
      <alignment horizontal="left" vertical="center" wrapText="1"/>
      <protection locked="0"/>
    </xf>
    <xf numFmtId="164" fontId="2" fillId="0" borderId="13" xfId="11" applyNumberFormat="1" applyFont="1" applyBorder="1" applyAlignment="1" applyProtection="1">
      <alignment horizontal="center" wrapText="1"/>
      <protection locked="0"/>
    </xf>
    <xf numFmtId="0" fontId="2" fillId="0" borderId="14" xfId="11" applyFont="1" applyBorder="1" applyAlignment="1" applyProtection="1">
      <alignment horizontal="left" vertical="top" wrapText="1"/>
      <protection locked="0"/>
    </xf>
    <xf numFmtId="0" fontId="2" fillId="0" borderId="15" xfId="11" applyFont="1" applyBorder="1" applyAlignment="1" applyProtection="1">
      <alignment horizontal="left" vertical="top" wrapText="1"/>
      <protection locked="0"/>
    </xf>
    <xf numFmtId="0" fontId="2" fillId="0" borderId="16" xfId="11" applyFont="1" applyBorder="1" applyAlignment="1" applyProtection="1">
      <alignment horizontal="left" vertical="top" wrapText="1"/>
      <protection locked="0"/>
    </xf>
    <xf numFmtId="0" fontId="39" fillId="0" borderId="14" xfId="11" applyFont="1" applyBorder="1" applyAlignment="1" applyProtection="1">
      <alignment horizontal="center"/>
      <protection locked="0"/>
    </xf>
    <xf numFmtId="0" fontId="39" fillId="0" borderId="15" xfId="11" applyFont="1" applyBorder="1" applyAlignment="1" applyProtection="1">
      <alignment horizontal="center"/>
      <protection locked="0"/>
    </xf>
    <xf numFmtId="0" fontId="39" fillId="0" borderId="16" xfId="11" applyFont="1" applyBorder="1" applyAlignment="1" applyProtection="1">
      <alignment horizontal="center"/>
      <protection locked="0"/>
    </xf>
    <xf numFmtId="0" fontId="32" fillId="0" borderId="0" xfId="11" applyFont="1" applyFill="1" applyBorder="1" applyAlignment="1">
      <alignment horizontal="center" vertical="center"/>
    </xf>
    <xf numFmtId="0" fontId="32" fillId="0" borderId="4" xfId="11" applyFont="1" applyFill="1" applyBorder="1" applyAlignment="1">
      <alignment horizontal="center" vertical="center"/>
    </xf>
    <xf numFmtId="0" fontId="34" fillId="12" borderId="11" xfId="11" applyFont="1" applyFill="1" applyBorder="1" applyAlignment="1">
      <alignment horizontal="left"/>
    </xf>
    <xf numFmtId="0" fontId="37" fillId="0" borderId="14" xfId="4" applyFont="1" applyFill="1" applyBorder="1" applyAlignment="1" applyProtection="1">
      <alignment vertical="top" wrapText="1"/>
      <protection locked="0"/>
    </xf>
    <xf numFmtId="0" fontId="37" fillId="0" borderId="15" xfId="4" applyFont="1" applyFill="1" applyBorder="1" applyAlignment="1" applyProtection="1">
      <alignment vertical="top" wrapText="1"/>
      <protection locked="0"/>
    </xf>
    <xf numFmtId="0" fontId="37" fillId="0" borderId="16" xfId="4" applyFont="1" applyFill="1" applyBorder="1" applyAlignment="1" applyProtection="1">
      <alignment vertical="top" wrapText="1"/>
      <protection locked="0"/>
    </xf>
    <xf numFmtId="0" fontId="38" fillId="0" borderId="14" xfId="4" applyFont="1" applyFill="1" applyBorder="1" applyAlignment="1" applyProtection="1">
      <alignment vertical="top" wrapText="1"/>
      <protection locked="0"/>
    </xf>
    <xf numFmtId="0" fontId="38" fillId="0" borderId="15" xfId="4" applyFont="1" applyFill="1" applyBorder="1" applyAlignment="1" applyProtection="1">
      <alignment vertical="top" wrapText="1"/>
      <protection locked="0"/>
    </xf>
    <xf numFmtId="0" fontId="38" fillId="0" borderId="16" xfId="4" applyFont="1" applyFill="1" applyBorder="1" applyAlignment="1" applyProtection="1">
      <alignment vertical="top" wrapText="1"/>
      <protection locked="0"/>
    </xf>
    <xf numFmtId="0" fontId="38" fillId="0" borderId="13" xfId="4" applyFont="1" applyFill="1" applyBorder="1" applyAlignment="1" applyProtection="1">
      <alignment vertical="top" wrapText="1"/>
      <protection locked="0"/>
    </xf>
    <xf numFmtId="0" fontId="2" fillId="5" borderId="2" xfId="3" applyFont="1" applyFill="1" applyBorder="1" applyAlignment="1">
      <alignment horizontal="center"/>
    </xf>
    <xf numFmtId="0" fontId="2" fillId="5" borderId="2" xfId="3" applyFill="1" applyBorder="1" applyAlignment="1">
      <alignment horizontal="center"/>
    </xf>
    <xf numFmtId="0" fontId="8" fillId="5" borderId="0" xfId="0" applyFont="1" applyFill="1" applyBorder="1" applyAlignment="1">
      <alignment horizontal="left"/>
    </xf>
  </cellXfs>
  <cellStyles count="13">
    <cellStyle name="%" xfId="5"/>
    <cellStyle name="Blank" xfId="4"/>
    <cellStyle name="Comma 2" xfId="6"/>
    <cellStyle name="Hyperlink" xfId="10" builtinId="8"/>
    <cellStyle name="Hyperlink 2" xfId="12"/>
    <cellStyle name="Neutral 2" xfId="9"/>
    <cellStyle name="Normal" xfId="0" builtinId="0"/>
    <cellStyle name="Normal 2" xfId="3"/>
    <cellStyle name="Normal 2 2" xfId="7"/>
    <cellStyle name="Normal 3" xfId="2"/>
    <cellStyle name="Normal 4" xfId="11"/>
    <cellStyle name="Percent" xfId="1" builtinId="5"/>
    <cellStyle name="Percent 2" xfId="8"/>
  </cellStyles>
  <dxfs count="163">
    <dxf>
      <fill>
        <patternFill>
          <bgColor theme="0" tint="-0.14996795556505021"/>
        </patternFill>
      </fill>
    </dxf>
    <dxf>
      <numFmt numFmtId="13" formatCode="0%"/>
    </dxf>
    <dxf>
      <fill>
        <patternFill>
          <bgColor theme="0" tint="-0.14996795556505021"/>
        </patternFill>
      </fill>
    </dxf>
    <dxf>
      <numFmt numFmtId="13" formatCode="0%"/>
    </dxf>
    <dxf>
      <fill>
        <patternFill>
          <bgColor theme="0" tint="-0.14996795556505021"/>
        </patternFill>
      </fill>
    </dxf>
    <dxf>
      <numFmt numFmtId="13" formatCode="0%"/>
    </dxf>
    <dxf>
      <fill>
        <patternFill>
          <bgColor theme="0" tint="-0.14996795556505021"/>
        </patternFill>
      </fill>
    </dxf>
    <dxf>
      <fill>
        <patternFill>
          <bgColor theme="0" tint="-0.14996795556505021"/>
        </patternFill>
      </fill>
    </dxf>
    <dxf>
      <numFmt numFmtId="13" formatCode="0%"/>
    </dxf>
    <dxf>
      <fill>
        <patternFill>
          <bgColor theme="0" tint="-0.14996795556505021"/>
        </patternFill>
      </fill>
    </dxf>
    <dxf>
      <fill>
        <patternFill>
          <bgColor theme="0" tint="-0.14996795556505021"/>
        </patternFill>
      </fill>
    </dxf>
    <dxf>
      <numFmt numFmtId="13" formatCode="0%"/>
    </dxf>
    <dxf>
      <fill>
        <patternFill>
          <bgColor theme="0" tint="-0.14996795556505021"/>
        </patternFill>
      </fill>
    </dxf>
    <dxf>
      <fill>
        <patternFill>
          <bgColor theme="0" tint="-0.14996795556505021"/>
        </patternFill>
      </fill>
    </dxf>
    <dxf>
      <numFmt numFmtId="13" formatCode="0%"/>
    </dxf>
    <dxf>
      <fill>
        <patternFill>
          <bgColor theme="0" tint="-0.14996795556505021"/>
        </patternFill>
      </fill>
    </dxf>
    <dxf>
      <fill>
        <patternFill>
          <bgColor theme="0" tint="-0.14996795556505021"/>
        </patternFill>
      </fill>
    </dxf>
    <dxf>
      <numFmt numFmtId="13" formatCode="0%"/>
    </dxf>
    <dxf>
      <fill>
        <patternFill>
          <bgColor theme="0" tint="-0.14996795556505021"/>
        </patternFill>
      </fill>
    </dxf>
    <dxf>
      <fill>
        <patternFill>
          <bgColor theme="0" tint="-0.14996795556505021"/>
        </patternFill>
      </fill>
    </dxf>
    <dxf>
      <numFmt numFmtId="13" formatCode="0%"/>
    </dxf>
    <dxf>
      <fill>
        <patternFill>
          <bgColor theme="0" tint="-0.14996795556505021"/>
        </patternFill>
      </fill>
    </dxf>
    <dxf>
      <numFmt numFmtId="13" formatCode="0%"/>
    </dxf>
    <dxf>
      <fill>
        <patternFill>
          <bgColor theme="0" tint="-0.14996795556505021"/>
        </patternFill>
      </fill>
    </dxf>
    <dxf>
      <numFmt numFmtId="13" formatCode="0%"/>
    </dxf>
    <dxf>
      <fill>
        <patternFill>
          <bgColor theme="0" tint="-0.14996795556505021"/>
        </patternFill>
      </fill>
    </dxf>
    <dxf>
      <numFmt numFmtId="13" formatCode="0%"/>
    </dxf>
    <dxf>
      <fill>
        <patternFill>
          <bgColor theme="0" tint="-0.14996795556505021"/>
        </patternFill>
      </fill>
    </dxf>
    <dxf>
      <numFmt numFmtId="13" formatCode="0%"/>
    </dxf>
    <dxf>
      <fill>
        <patternFill>
          <bgColor theme="0" tint="-0.14996795556505021"/>
        </patternFill>
      </fill>
    </dxf>
    <dxf>
      <numFmt numFmtId="13" formatCode="0%"/>
    </dxf>
    <dxf>
      <fill>
        <patternFill>
          <bgColor theme="0" tint="-0.14996795556505021"/>
        </patternFill>
      </fill>
    </dxf>
    <dxf>
      <numFmt numFmtId="13" formatCode="0%"/>
    </dxf>
    <dxf>
      <fill>
        <patternFill>
          <bgColor theme="0" tint="-0.14996795556505021"/>
        </patternFill>
      </fill>
    </dxf>
    <dxf>
      <numFmt numFmtId="13" formatCode="0%"/>
    </dxf>
    <dxf>
      <fill>
        <patternFill>
          <bgColor theme="0" tint="-0.14996795556505021"/>
        </patternFill>
      </fill>
    </dxf>
    <dxf>
      <numFmt numFmtId="13" formatCode="0%"/>
    </dxf>
    <dxf>
      <fill>
        <patternFill>
          <bgColor theme="0" tint="-0.14996795556505021"/>
        </patternFill>
      </fill>
    </dxf>
    <dxf>
      <fill>
        <patternFill>
          <bgColor theme="0" tint="-0.14996795556505021"/>
        </patternFill>
      </fill>
    </dxf>
    <dxf>
      <numFmt numFmtId="13" formatCode="0%"/>
    </dxf>
    <dxf>
      <fill>
        <patternFill>
          <bgColor theme="0" tint="-0.14996795556505021"/>
        </patternFill>
      </fill>
    </dxf>
    <dxf>
      <fill>
        <patternFill>
          <bgColor theme="0" tint="-0.14996795556505021"/>
        </patternFill>
      </fill>
    </dxf>
    <dxf>
      <numFmt numFmtId="13" formatCode="0%"/>
    </dxf>
    <dxf>
      <fill>
        <patternFill>
          <bgColor theme="0" tint="-0.14996795556505021"/>
        </patternFill>
      </fill>
    </dxf>
    <dxf>
      <fill>
        <patternFill>
          <bgColor theme="0" tint="-0.14996795556505021"/>
        </patternFill>
      </fill>
    </dxf>
    <dxf>
      <numFmt numFmtId="13" formatCode="0%"/>
    </dxf>
    <dxf>
      <fill>
        <patternFill>
          <bgColor theme="0" tint="-0.14996795556505021"/>
        </patternFill>
      </fill>
    </dxf>
    <dxf>
      <fill>
        <patternFill>
          <bgColor theme="0" tint="-0.14996795556505021"/>
        </patternFill>
      </fill>
    </dxf>
    <dxf>
      <numFmt numFmtId="13" formatCode="0%"/>
    </dxf>
    <dxf>
      <fill>
        <patternFill>
          <bgColor theme="0" tint="-0.14996795556505021"/>
        </patternFill>
      </fill>
    </dxf>
    <dxf>
      <fill>
        <patternFill>
          <bgColor theme="0" tint="-0.14996795556505021"/>
        </patternFill>
      </fill>
    </dxf>
    <dxf>
      <numFmt numFmtId="13" formatCode="0%"/>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patternType="solid">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patternType="solid">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patternType="solid">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patternType="solid">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patternType="solid">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patternType="solid">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patternType="solid">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patternType="solid">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ont>
        <condense val="0"/>
        <extend val="0"/>
        <color rgb="FF006100"/>
      </font>
      <fill>
        <patternFill>
          <bgColor rgb="FFC6EFCE"/>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ndense val="0"/>
        <extend val="0"/>
        <color rgb="FF006100"/>
      </font>
      <fill>
        <patternFill>
          <bgColor rgb="FFC6EFCE"/>
        </patternFill>
      </fill>
    </dxf>
    <dxf>
      <fill>
        <patternFill>
          <bgColor theme="9" tint="0.79998168889431442"/>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s>
  <tableStyles count="0" defaultTableStyle="TableStyleMedium2" defaultPivotStyle="PivotStyleLight16"/>
  <colors>
    <mruColors>
      <color rgb="FFFFCC66"/>
      <color rgb="FFFFFFCC"/>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GB"/>
              <a:t>LA fund forecast with Risks &amp; Opportunities overlay</a:t>
            </a:r>
          </a:p>
          <a:p>
            <a:pPr>
              <a:defRPr/>
            </a:pPr>
            <a:r>
              <a:rPr lang="en-GB" sz="1200" i="1"/>
              <a:t>Risks and opportunities</a:t>
            </a:r>
            <a:r>
              <a:rPr lang="en-GB" sz="1200" i="1" baseline="0"/>
              <a:t> may or may not materialise, </a:t>
            </a:r>
          </a:p>
          <a:p>
            <a:pPr>
              <a:defRPr/>
            </a:pPr>
            <a:r>
              <a:rPr lang="en-GB" sz="1200" i="1" baseline="0"/>
              <a:t>e.g. include policy changes that have not been signed-off yet</a:t>
            </a:r>
            <a:endParaRPr lang="en-GB" sz="1200" i="1"/>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4493951220309437"/>
          <c:y val="0.20238535353535353"/>
          <c:w val="0.82721678801696452"/>
          <c:h val="0.49584065656565657"/>
        </c:manualLayout>
      </c:layout>
      <c:areaChart>
        <c:grouping val="stacked"/>
        <c:varyColors val="0"/>
        <c:ser>
          <c:idx val="0"/>
          <c:order val="2"/>
          <c:spPr>
            <a:solidFill>
              <a:schemeClr val="accent1"/>
            </a:solidFill>
            <a:ln w="25400">
              <a:noFill/>
            </a:ln>
            <a:effectLst/>
          </c:spPr>
          <c:val>
            <c:numRef>
              <c:f>'Current Run'!#REF!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'LAA-model-output'!#REF!</c15:sqref>
                        </c15:formulaRef>
                      </c:ext>
                    </c:extLst>
                  </c:multiLvlStrRef>
                </c15:cat>
              </c15:filteredCategoryTitle>
            </c:ext>
            <c:ext xmlns:c16="http://schemas.microsoft.com/office/drawing/2014/chart" uri="{C3380CC4-5D6E-409C-BE32-E72D297353CC}">
              <c16:uniqueId val="{00000000-0E12-4BD1-80A7-1EC34CD232BF}"/>
            </c:ext>
          </c:extLst>
        </c:ser>
        <c:ser>
          <c:idx val="1"/>
          <c:order val="3"/>
          <c:tx>
            <c:v>Forecast with risks and opportunities overlay (Monte-Carlo - 90% c.i.)</c:v>
          </c:tx>
          <c:spPr>
            <a:solidFill>
              <a:schemeClr val="accent2"/>
            </a:solidFill>
            <a:ln w="25400">
              <a:noFill/>
            </a:ln>
            <a:effectLst/>
          </c:spPr>
          <c:val>
            <c:numRef>
              <c:f>'Current Run'!#REF!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'LAA-model-output'!#REF!</c15:sqref>
                        </c15:formulaRef>
                      </c:ext>
                    </c:extLst>
                  </c:multiLvlStrRef>
                </c15:cat>
              </c15:filteredCategoryTitle>
            </c:ext>
            <c:ext xmlns:c16="http://schemas.microsoft.com/office/drawing/2014/chart" uri="{C3380CC4-5D6E-409C-BE32-E72D297353CC}">
              <c16:uniqueId val="{00000001-0E12-4BD1-80A7-1EC34CD232BF}"/>
            </c:ext>
          </c:extLst>
        </c:ser>
        <c:ser>
          <c:idx val="2"/>
          <c:order val="4"/>
          <c:tx>
            <c:v>Forecast with risks and opportunities overlay (Monte-Carlo - 50% c.i.)</c:v>
          </c:tx>
          <c:spPr>
            <a:solidFill>
              <a:schemeClr val="accent3"/>
            </a:solidFill>
            <a:ln w="25400">
              <a:noFill/>
            </a:ln>
            <a:effectLst/>
          </c:spPr>
          <c:val>
            <c:numRef>
              <c:f>'Current Run'!#REF!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'LAA-model-output'!#REF!</c15:sqref>
                        </c15:formulaRef>
                      </c:ext>
                    </c:extLst>
                  </c:multiLvlStrRef>
                </c15:cat>
              </c15:filteredCategoryTitle>
            </c:ext>
            <c:ext xmlns:c16="http://schemas.microsoft.com/office/drawing/2014/chart" uri="{C3380CC4-5D6E-409C-BE32-E72D297353CC}">
              <c16:uniqueId val="{00000002-0E12-4BD1-80A7-1EC34CD232BF}"/>
            </c:ext>
          </c:extLst>
        </c:ser>
        <c:ser>
          <c:idx val="3"/>
          <c:order val="5"/>
          <c:spPr>
            <a:solidFill>
              <a:schemeClr val="accent4"/>
            </a:solidFill>
            <a:ln w="25400">
              <a:noFill/>
            </a:ln>
            <a:effectLst/>
          </c:spPr>
          <c:val>
            <c:numRef>
              <c:f>'Current Run'!#REF!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'LAA-model-output'!#REF!</c15:sqref>
                        </c15:formulaRef>
                      </c:ext>
                    </c:extLst>
                  </c:multiLvlStrRef>
                </c15:cat>
              </c15:filteredCategoryTitle>
            </c:ext>
            <c:ext xmlns:c16="http://schemas.microsoft.com/office/drawing/2014/chart" uri="{C3380CC4-5D6E-409C-BE32-E72D297353CC}">
              <c16:uniqueId val="{00000003-0E12-4BD1-80A7-1EC34CD232BF}"/>
            </c:ext>
          </c:extLst>
        </c:ser>
        <c:ser>
          <c:idx val="4"/>
          <c:order val="6"/>
          <c:spPr>
            <a:solidFill>
              <a:schemeClr val="accent5"/>
            </a:solidFill>
            <a:ln w="25400">
              <a:noFill/>
            </a:ln>
            <a:effectLst/>
          </c:spPr>
          <c:val>
            <c:numRef>
              <c:f>'Current Run'!#REF!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'LAA-model-output'!#REF!</c15:sqref>
                        </c15:formulaRef>
                      </c:ext>
                    </c:extLst>
                  </c:multiLvlStrRef>
                </c15:cat>
              </c15:filteredCategoryTitle>
            </c:ext>
            <c:ext xmlns:c16="http://schemas.microsoft.com/office/drawing/2014/chart" uri="{C3380CC4-5D6E-409C-BE32-E72D297353CC}">
              <c16:uniqueId val="{00000004-0E12-4BD1-80A7-1EC34CD232BF}"/>
            </c:ext>
          </c:extLst>
        </c:ser>
        <c:dLbls>
          <c:showLegendKey val="0"/>
          <c:showVal val="0"/>
          <c:showCatName val="0"/>
          <c:showSerName val="0"/>
          <c:showPercent val="0"/>
          <c:showBubbleSize val="0"/>
        </c:dLbls>
        <c:axId val="473876824"/>
        <c:axId val="473877608"/>
      </c:areaChart>
      <c:lineChart>
        <c:grouping val="standard"/>
        <c:varyColors val="0"/>
        <c:ser>
          <c:idx val="8"/>
          <c:order val="0"/>
          <c:tx>
            <c:v>Forecast with risks and opportunities overlay (Monte-Carlo - central estimate)</c:v>
          </c:tx>
          <c:spPr>
            <a:ln w="28575" cap="rnd">
              <a:solidFill>
                <a:schemeClr val="accent3">
                  <a:lumMod val="60000"/>
                </a:schemeClr>
              </a:solidFill>
              <a:round/>
            </a:ln>
            <a:effectLst/>
          </c:spPr>
          <c:marker>
            <c:symbol val="none"/>
          </c:marker>
          <c:val>
            <c:numRef>
              <c:f>'Current Run'!#REF!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'Current Run'!#REF!</c15:sqref>
                        </c15:formulaRef>
                      </c:ext>
                    </c:extLst>
                  </c:multiLvlStrRef>
                </c15:cat>
              </c15:filteredCategoryTitle>
            </c:ext>
            <c:ext xmlns:c16="http://schemas.microsoft.com/office/drawing/2014/chart" uri="{C3380CC4-5D6E-409C-BE32-E72D297353CC}">
              <c16:uniqueId val="{00000005-0E12-4BD1-80A7-1EC34CD232BF}"/>
            </c:ext>
          </c:extLst>
        </c:ser>
        <c:ser>
          <c:idx val="5"/>
          <c:order val="1"/>
          <c:tx>
            <c:v>Forecast</c:v>
          </c:tx>
          <c:spPr>
            <a:ln w="28575" cap="rnd">
              <a:solidFill>
                <a:schemeClr val="accent6"/>
              </a:solidFill>
              <a:round/>
            </a:ln>
            <a:effectLst/>
          </c:spPr>
          <c:marker>
            <c:symbol val="none"/>
          </c:marker>
          <c:val>
            <c:numRef>
              <c:f>'Current Run'!#REF!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'Current Run'!#REF!</c15:sqref>
                        </c15:formulaRef>
                      </c:ext>
                    </c:extLst>
                  </c:multiLvlStrRef>
                </c15:cat>
              </c15:filteredCategoryTitle>
            </c:ext>
            <c:ext xmlns:c16="http://schemas.microsoft.com/office/drawing/2014/chart" uri="{C3380CC4-5D6E-409C-BE32-E72D297353CC}">
              <c16:uniqueId val="{00000006-0E12-4BD1-80A7-1EC34CD232BF}"/>
            </c:ext>
          </c:extLst>
        </c:ser>
        <c:dLbls>
          <c:showLegendKey val="0"/>
          <c:showVal val="0"/>
          <c:showCatName val="0"/>
          <c:showSerName val="0"/>
          <c:showPercent val="0"/>
          <c:showBubbleSize val="0"/>
        </c:dLbls>
        <c:marker val="1"/>
        <c:smooth val="0"/>
        <c:axId val="473876824"/>
        <c:axId val="473877608"/>
      </c:lineChart>
      <c:catAx>
        <c:axId val="47387682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473877608"/>
        <c:crosses val="autoZero"/>
        <c:auto val="1"/>
        <c:lblAlgn val="ctr"/>
        <c:lblOffset val="100"/>
        <c:noMultiLvlLbl val="0"/>
      </c:catAx>
      <c:valAx>
        <c:axId val="473877608"/>
        <c:scaling>
          <c:orientation val="minMax"/>
          <c:min val="14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GB"/>
                  <a:t>£m</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473876824"/>
        <c:crosses val="autoZero"/>
        <c:crossBetween val="between"/>
        <c:majorUnit val="100"/>
      </c:valAx>
      <c:spPr>
        <a:noFill/>
        <a:ln>
          <a:noFill/>
        </a:ln>
        <a:effectLst/>
      </c:spPr>
    </c:plotArea>
    <c:legend>
      <c:legendPos val="b"/>
      <c:legendEntry>
        <c:idx val="0"/>
        <c:delete val="1"/>
      </c:legendEntry>
      <c:legendEntry>
        <c:idx val="3"/>
        <c:delete val="1"/>
      </c:legendEntry>
      <c:legendEntry>
        <c:idx val="4"/>
        <c:delete val="1"/>
      </c:legendEntry>
      <c:layout>
        <c:manualLayout>
          <c:xMode val="edge"/>
          <c:yMode val="edge"/>
          <c:x val="5.8448649500836398E-2"/>
          <c:y val="0.80522159484589428"/>
          <c:w val="0.92456629501207122"/>
          <c:h val="0.1947784051541058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zero"/>
    <c:showDLblsOverMax val="0"/>
  </c:chart>
  <c:spPr>
    <a:solidFill>
      <a:schemeClr val="bg1"/>
    </a:solidFill>
    <a:ln w="9525" cap="flat" cmpd="sng" algn="ctr">
      <a:noFill/>
      <a:round/>
    </a:ln>
    <a:effec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GB"/>
              <a:t>LA fund forecast with Risks &amp; Opportunities overlay</a:t>
            </a:r>
          </a:p>
          <a:p>
            <a:pPr>
              <a:defRPr/>
            </a:pPr>
            <a:r>
              <a:rPr lang="en-GB" sz="1200" i="1"/>
              <a:t>Risks and opportunities</a:t>
            </a:r>
            <a:r>
              <a:rPr lang="en-GB" sz="1200" i="1" baseline="0"/>
              <a:t> may or may not materialise, </a:t>
            </a:r>
          </a:p>
          <a:p>
            <a:pPr>
              <a:defRPr/>
            </a:pPr>
            <a:r>
              <a:rPr lang="en-GB" sz="1200" i="1" baseline="0"/>
              <a:t>e.g. include policy changes that have not been signed-off yet</a:t>
            </a:r>
            <a:endParaRPr lang="en-GB" sz="1200" i="1"/>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4493951220309437"/>
          <c:y val="0.20238535353535353"/>
          <c:w val="0.82721678801696452"/>
          <c:h val="0.49584065656565657"/>
        </c:manualLayout>
      </c:layout>
      <c:areaChart>
        <c:grouping val="stacked"/>
        <c:varyColors val="0"/>
        <c:ser>
          <c:idx val="0"/>
          <c:order val="2"/>
          <c:spPr>
            <a:solidFill>
              <a:schemeClr val="accent1"/>
            </a:solidFill>
            <a:ln w="25400">
              <a:noFill/>
            </a:ln>
            <a:effectLst/>
          </c:spPr>
          <c:val>
            <c:numRef>
              <c:f>'Current Run'!#REF!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'LAA-model-output'!#REF!</c15:sqref>
                        </c15:formulaRef>
                      </c:ext>
                    </c:extLst>
                  </c:multiLvlStrRef>
                </c15:cat>
              </c15:filteredCategoryTitle>
            </c:ext>
            <c:ext xmlns:c16="http://schemas.microsoft.com/office/drawing/2014/chart" uri="{C3380CC4-5D6E-409C-BE32-E72D297353CC}">
              <c16:uniqueId val="{00000000-9B42-4718-AAFF-F892F9D61753}"/>
            </c:ext>
          </c:extLst>
        </c:ser>
        <c:ser>
          <c:idx val="1"/>
          <c:order val="3"/>
          <c:tx>
            <c:v>Forecast with risks and opportunities overlay (Monte-Carlo - 90% c.i.)</c:v>
          </c:tx>
          <c:spPr>
            <a:solidFill>
              <a:schemeClr val="accent2"/>
            </a:solidFill>
            <a:ln w="25400">
              <a:noFill/>
            </a:ln>
            <a:effectLst/>
          </c:spPr>
          <c:val>
            <c:numRef>
              <c:f>'Current Run'!#REF!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'LAA-model-output'!#REF!</c15:sqref>
                        </c15:formulaRef>
                      </c:ext>
                    </c:extLst>
                  </c:multiLvlStrRef>
                </c15:cat>
              </c15:filteredCategoryTitle>
            </c:ext>
            <c:ext xmlns:c16="http://schemas.microsoft.com/office/drawing/2014/chart" uri="{C3380CC4-5D6E-409C-BE32-E72D297353CC}">
              <c16:uniqueId val="{00000001-9B42-4718-AAFF-F892F9D61753}"/>
            </c:ext>
          </c:extLst>
        </c:ser>
        <c:ser>
          <c:idx val="2"/>
          <c:order val="4"/>
          <c:tx>
            <c:v>Forecast with risks and opportunities overlay (Monte-Carlo - 50% c.i.)</c:v>
          </c:tx>
          <c:spPr>
            <a:solidFill>
              <a:schemeClr val="accent3"/>
            </a:solidFill>
            <a:ln w="25400">
              <a:noFill/>
            </a:ln>
            <a:effectLst/>
          </c:spPr>
          <c:val>
            <c:numRef>
              <c:f>'Current Run'!#REF!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'LAA-model-output'!#REF!</c15:sqref>
                        </c15:formulaRef>
                      </c:ext>
                    </c:extLst>
                  </c:multiLvlStrRef>
                </c15:cat>
              </c15:filteredCategoryTitle>
            </c:ext>
            <c:ext xmlns:c16="http://schemas.microsoft.com/office/drawing/2014/chart" uri="{C3380CC4-5D6E-409C-BE32-E72D297353CC}">
              <c16:uniqueId val="{00000002-9B42-4718-AAFF-F892F9D61753}"/>
            </c:ext>
          </c:extLst>
        </c:ser>
        <c:ser>
          <c:idx val="3"/>
          <c:order val="5"/>
          <c:spPr>
            <a:solidFill>
              <a:schemeClr val="accent4"/>
            </a:solidFill>
            <a:ln w="25400">
              <a:noFill/>
            </a:ln>
            <a:effectLst/>
          </c:spPr>
          <c:val>
            <c:numRef>
              <c:f>'Current Run'!#REF!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'LAA-model-output'!#REF!</c15:sqref>
                        </c15:formulaRef>
                      </c:ext>
                    </c:extLst>
                  </c:multiLvlStrRef>
                </c15:cat>
              </c15:filteredCategoryTitle>
            </c:ext>
            <c:ext xmlns:c16="http://schemas.microsoft.com/office/drawing/2014/chart" uri="{C3380CC4-5D6E-409C-BE32-E72D297353CC}">
              <c16:uniqueId val="{00000003-9B42-4718-AAFF-F892F9D61753}"/>
            </c:ext>
          </c:extLst>
        </c:ser>
        <c:ser>
          <c:idx val="4"/>
          <c:order val="6"/>
          <c:spPr>
            <a:solidFill>
              <a:schemeClr val="accent5"/>
            </a:solidFill>
            <a:ln w="25400">
              <a:noFill/>
            </a:ln>
            <a:effectLst/>
          </c:spPr>
          <c:val>
            <c:numRef>
              <c:f>'Current Run'!#REF!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'LAA-model-output'!#REF!</c15:sqref>
                        </c15:formulaRef>
                      </c:ext>
                    </c:extLst>
                  </c:multiLvlStrRef>
                </c15:cat>
              </c15:filteredCategoryTitle>
            </c:ext>
            <c:ext xmlns:c16="http://schemas.microsoft.com/office/drawing/2014/chart" uri="{C3380CC4-5D6E-409C-BE32-E72D297353CC}">
              <c16:uniqueId val="{00000004-9B42-4718-AAFF-F892F9D61753}"/>
            </c:ext>
          </c:extLst>
        </c:ser>
        <c:dLbls>
          <c:showLegendKey val="0"/>
          <c:showVal val="0"/>
          <c:showCatName val="0"/>
          <c:showSerName val="0"/>
          <c:showPercent val="0"/>
          <c:showBubbleSize val="0"/>
        </c:dLbls>
        <c:axId val="473876824"/>
        <c:axId val="473877608"/>
      </c:areaChart>
      <c:lineChart>
        <c:grouping val="standard"/>
        <c:varyColors val="0"/>
        <c:ser>
          <c:idx val="8"/>
          <c:order val="0"/>
          <c:tx>
            <c:v>Forecast with risks and opportunities overlay (Monte-Carlo - central estimate)</c:v>
          </c:tx>
          <c:spPr>
            <a:ln w="28575" cap="rnd">
              <a:solidFill>
                <a:schemeClr val="accent3">
                  <a:lumMod val="60000"/>
                </a:schemeClr>
              </a:solidFill>
              <a:round/>
            </a:ln>
            <a:effectLst/>
          </c:spPr>
          <c:marker>
            <c:symbol val="none"/>
          </c:marker>
          <c:val>
            <c:numRef>
              <c:f>'Current Run'!#REF!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'Current Run'!#REF!</c15:sqref>
                        </c15:formulaRef>
                      </c:ext>
                    </c:extLst>
                  </c:multiLvlStrRef>
                </c15:cat>
              </c15:filteredCategoryTitle>
            </c:ext>
            <c:ext xmlns:c16="http://schemas.microsoft.com/office/drawing/2014/chart" uri="{C3380CC4-5D6E-409C-BE32-E72D297353CC}">
              <c16:uniqueId val="{00000005-9B42-4718-AAFF-F892F9D61753}"/>
            </c:ext>
          </c:extLst>
        </c:ser>
        <c:ser>
          <c:idx val="5"/>
          <c:order val="1"/>
          <c:tx>
            <c:v>Forecast</c:v>
          </c:tx>
          <c:spPr>
            <a:ln w="28575" cap="rnd">
              <a:solidFill>
                <a:schemeClr val="accent6"/>
              </a:solidFill>
              <a:round/>
            </a:ln>
            <a:effectLst/>
          </c:spPr>
          <c:marker>
            <c:symbol val="none"/>
          </c:marker>
          <c:val>
            <c:numRef>
              <c:f>'Current Run'!#REF!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'Current Run'!#REF!</c15:sqref>
                        </c15:formulaRef>
                      </c:ext>
                    </c:extLst>
                  </c:multiLvlStrRef>
                </c15:cat>
              </c15:filteredCategoryTitle>
            </c:ext>
            <c:ext xmlns:c16="http://schemas.microsoft.com/office/drawing/2014/chart" uri="{C3380CC4-5D6E-409C-BE32-E72D297353CC}">
              <c16:uniqueId val="{00000006-9B42-4718-AAFF-F892F9D61753}"/>
            </c:ext>
          </c:extLst>
        </c:ser>
        <c:dLbls>
          <c:showLegendKey val="0"/>
          <c:showVal val="0"/>
          <c:showCatName val="0"/>
          <c:showSerName val="0"/>
          <c:showPercent val="0"/>
          <c:showBubbleSize val="0"/>
        </c:dLbls>
        <c:marker val="1"/>
        <c:smooth val="0"/>
        <c:axId val="473876824"/>
        <c:axId val="473877608"/>
      </c:lineChart>
      <c:catAx>
        <c:axId val="47387682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473877608"/>
        <c:crosses val="autoZero"/>
        <c:auto val="1"/>
        <c:lblAlgn val="ctr"/>
        <c:lblOffset val="100"/>
        <c:noMultiLvlLbl val="0"/>
      </c:catAx>
      <c:valAx>
        <c:axId val="473877608"/>
        <c:scaling>
          <c:orientation val="minMax"/>
          <c:min val="14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GB"/>
                  <a:t>£m</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473876824"/>
        <c:crosses val="autoZero"/>
        <c:crossBetween val="between"/>
        <c:majorUnit val="100"/>
      </c:valAx>
      <c:spPr>
        <a:noFill/>
        <a:ln>
          <a:noFill/>
        </a:ln>
        <a:effectLst/>
      </c:spPr>
    </c:plotArea>
    <c:legend>
      <c:legendPos val="b"/>
      <c:legendEntry>
        <c:idx val="0"/>
        <c:delete val="1"/>
      </c:legendEntry>
      <c:legendEntry>
        <c:idx val="1"/>
        <c:delete val="1"/>
      </c:legendEntry>
      <c:legendEntry>
        <c:idx val="4"/>
        <c:delete val="1"/>
      </c:legendEntry>
      <c:layout>
        <c:manualLayout>
          <c:xMode val="edge"/>
          <c:yMode val="edge"/>
          <c:x val="5.8448649500836398E-2"/>
          <c:y val="0.80522159484589428"/>
          <c:w val="0.92456629501207122"/>
          <c:h val="0.1947784051541058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zero"/>
    <c:showDLblsOverMax val="0"/>
  </c:chart>
  <c:spPr>
    <a:solidFill>
      <a:schemeClr val="bg1"/>
    </a:solidFill>
    <a:ln w="9525" cap="flat" cmpd="sng" algn="ctr">
      <a:noFill/>
      <a:round/>
    </a:ln>
    <a:effec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GB"/>
              <a:t>Monte</a:t>
            </a:r>
            <a:r>
              <a:rPr lang="en-GB" baseline="0"/>
              <a:t> Carlo Uncertainty</a:t>
            </a:r>
            <a:endParaRPr lang="en-GB"/>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3352359529331853"/>
          <c:y val="0.11233243308443483"/>
          <c:w val="0.83863270492674036"/>
          <c:h val="0.57156638598646858"/>
        </c:manualLayout>
      </c:layout>
      <c:areaChart>
        <c:grouping val="stacked"/>
        <c:varyColors val="0"/>
        <c:ser>
          <c:idx val="0"/>
          <c:order val="1"/>
          <c:spPr>
            <a:noFill/>
            <a:ln w="25400">
              <a:noFill/>
            </a:ln>
            <a:effectLst/>
          </c:spPr>
          <c:cat>
            <c:multiLvlStrRef>
              <c:f>'LAA-model-output'!#REF!</c:f>
              <c:extLst xmlns:c15="http://schemas.microsoft.com/office/drawing/2012/chart"/>
            </c:multiLvlStrRef>
          </c:cat>
          <c:val>
            <c:numRef>
              <c:f>'Model Output'!$D$22:$H$22</c:f>
              <c:numCache>
                <c:formatCode>#,##0</c:formatCode>
                <c:ptCount val="5"/>
                <c:pt idx="0">
                  <c:v>-1.9216694076847118</c:v>
                </c:pt>
                <c:pt idx="1">
                  <c:v>-4.3535512505963316</c:v>
                </c:pt>
                <c:pt idx="2">
                  <c:v>-7.1850945373610182</c:v>
                </c:pt>
                <c:pt idx="3">
                  <c:v>-9.6558878547599853</c:v>
                </c:pt>
                <c:pt idx="4">
                  <c:v>-14.317484404950966</c:v>
                </c:pt>
              </c:numCache>
            </c:numRef>
          </c:val>
          <c:extLst>
            <c:ext xmlns:c16="http://schemas.microsoft.com/office/drawing/2014/chart" uri="{C3380CC4-5D6E-409C-BE32-E72D297353CC}">
              <c16:uniqueId val="{00000000-9190-4BD9-8EEE-6F39794C9839}"/>
            </c:ext>
          </c:extLst>
        </c:ser>
        <c:ser>
          <c:idx val="1"/>
          <c:order val="2"/>
          <c:tx>
            <c:v>Uncertainty - 90% c.i.</c:v>
          </c:tx>
          <c:spPr>
            <a:solidFill>
              <a:schemeClr val="accent1">
                <a:lumMod val="20000"/>
                <a:lumOff val="80000"/>
              </a:schemeClr>
            </a:solidFill>
            <a:ln w="25400">
              <a:noFill/>
            </a:ln>
            <a:effectLst/>
          </c:spPr>
          <c:cat>
            <c:multiLvlStrRef>
              <c:f>'LAA-model-output'!#REF!</c:f>
              <c:extLst xmlns:c15="http://schemas.microsoft.com/office/drawing/2012/chart"/>
            </c:multiLvlStrRef>
          </c:cat>
          <c:val>
            <c:numRef>
              <c:f>'Model Output'!$D$23:$H$23</c:f>
              <c:numCache>
                <c:formatCode>#,##0</c:formatCode>
                <c:ptCount val="5"/>
                <c:pt idx="0">
                  <c:v>3.0238932761275388</c:v>
                </c:pt>
                <c:pt idx="1">
                  <c:v>4.8757925480507645</c:v>
                </c:pt>
                <c:pt idx="2">
                  <c:v>6.8787775968085869</c:v>
                </c:pt>
                <c:pt idx="3">
                  <c:v>8.7436858247296172</c:v>
                </c:pt>
                <c:pt idx="4">
                  <c:v>11.48792940828341</c:v>
                </c:pt>
              </c:numCache>
            </c:numRef>
          </c:val>
          <c:extLst>
            <c:ext xmlns:c16="http://schemas.microsoft.com/office/drawing/2014/chart" uri="{C3380CC4-5D6E-409C-BE32-E72D297353CC}">
              <c16:uniqueId val="{00000001-9190-4BD9-8EEE-6F39794C9839}"/>
            </c:ext>
          </c:extLst>
        </c:ser>
        <c:ser>
          <c:idx val="2"/>
          <c:order val="3"/>
          <c:tx>
            <c:v>Uncertainty - 50% c.i.</c:v>
          </c:tx>
          <c:spPr>
            <a:solidFill>
              <a:schemeClr val="accent1">
                <a:lumMod val="60000"/>
                <a:lumOff val="40000"/>
              </a:schemeClr>
            </a:solidFill>
            <a:ln w="25400">
              <a:noFill/>
            </a:ln>
            <a:effectLst/>
          </c:spPr>
          <c:cat>
            <c:multiLvlStrRef>
              <c:f>'LAA-model-output'!#REF!</c:f>
              <c:extLst xmlns:c15="http://schemas.microsoft.com/office/drawing/2012/chart"/>
            </c:multiLvlStrRef>
          </c:cat>
          <c:val>
            <c:numRef>
              <c:f>'Model Output'!$D$24:$H$24</c:f>
              <c:numCache>
                <c:formatCode>#,##0</c:formatCode>
                <c:ptCount val="5"/>
                <c:pt idx="0">
                  <c:v>2.1018764911722014</c:v>
                </c:pt>
                <c:pt idx="1">
                  <c:v>3.389112245953573</c:v>
                </c:pt>
                <c:pt idx="2">
                  <c:v>4.7813661391018529</c:v>
                </c:pt>
                <c:pt idx="3">
                  <c:v>6.077644282714318</c:v>
                </c:pt>
                <c:pt idx="4">
                  <c:v>7.9851392065128772</c:v>
                </c:pt>
              </c:numCache>
            </c:numRef>
          </c:val>
          <c:extLst>
            <c:ext xmlns:c16="http://schemas.microsoft.com/office/drawing/2014/chart" uri="{C3380CC4-5D6E-409C-BE32-E72D297353CC}">
              <c16:uniqueId val="{00000002-9190-4BD9-8EEE-6F39794C9839}"/>
            </c:ext>
          </c:extLst>
        </c:ser>
        <c:ser>
          <c:idx val="3"/>
          <c:order val="4"/>
          <c:spPr>
            <a:solidFill>
              <a:schemeClr val="accent1">
                <a:lumMod val="60000"/>
                <a:lumOff val="40000"/>
              </a:schemeClr>
            </a:solidFill>
            <a:ln w="25400">
              <a:noFill/>
            </a:ln>
            <a:effectLst/>
          </c:spPr>
          <c:cat>
            <c:multiLvlStrRef>
              <c:f>'LAA-model-output'!#REF!</c:f>
              <c:extLst xmlns:c15="http://schemas.microsoft.com/office/drawing/2012/chart"/>
            </c:multiLvlStrRef>
          </c:cat>
          <c:val>
            <c:numRef>
              <c:f>'Model Output'!$D$25:$H$25</c:f>
              <c:numCache>
                <c:formatCode>#,##0</c:formatCode>
                <c:ptCount val="5"/>
                <c:pt idx="0">
                  <c:v>2.1018764911722019</c:v>
                </c:pt>
                <c:pt idx="1">
                  <c:v>3.389112245953573</c:v>
                </c:pt>
                <c:pt idx="2">
                  <c:v>4.7813661391018529</c:v>
                </c:pt>
                <c:pt idx="3">
                  <c:v>6.0776442827143171</c:v>
                </c:pt>
                <c:pt idx="4">
                  <c:v>7.9851392065128781</c:v>
                </c:pt>
              </c:numCache>
            </c:numRef>
          </c:val>
          <c:extLst>
            <c:ext xmlns:c16="http://schemas.microsoft.com/office/drawing/2014/chart" uri="{C3380CC4-5D6E-409C-BE32-E72D297353CC}">
              <c16:uniqueId val="{00000003-9190-4BD9-8EEE-6F39794C9839}"/>
            </c:ext>
          </c:extLst>
        </c:ser>
        <c:ser>
          <c:idx val="4"/>
          <c:order val="5"/>
          <c:spPr>
            <a:solidFill>
              <a:schemeClr val="accent1">
                <a:lumMod val="20000"/>
                <a:lumOff val="80000"/>
              </a:schemeClr>
            </a:solidFill>
            <a:ln w="25400">
              <a:noFill/>
            </a:ln>
            <a:effectLst/>
          </c:spPr>
          <c:cat>
            <c:multiLvlStrRef>
              <c:f>'LAA-model-output'!#REF!</c:f>
              <c:extLst xmlns:c15="http://schemas.microsoft.com/office/drawing/2012/chart"/>
            </c:multiLvlStrRef>
          </c:cat>
          <c:val>
            <c:numRef>
              <c:f>'Model Output'!$D$26:$H$26</c:f>
              <c:numCache>
                <c:formatCode>#,##0</c:formatCode>
                <c:ptCount val="5"/>
                <c:pt idx="0">
                  <c:v>3.0238932761275343</c:v>
                </c:pt>
                <c:pt idx="1">
                  <c:v>4.87579254805076</c:v>
                </c:pt>
                <c:pt idx="2">
                  <c:v>6.8787775968085807</c:v>
                </c:pt>
                <c:pt idx="3">
                  <c:v>8.7436858247296065</c:v>
                </c:pt>
                <c:pt idx="4">
                  <c:v>11.487929408283392</c:v>
                </c:pt>
              </c:numCache>
            </c:numRef>
          </c:val>
          <c:extLst>
            <c:ext xmlns:c16="http://schemas.microsoft.com/office/drawing/2014/chart" uri="{C3380CC4-5D6E-409C-BE32-E72D297353CC}">
              <c16:uniqueId val="{00000004-9190-4BD9-8EEE-6F39794C9839}"/>
            </c:ext>
          </c:extLst>
        </c:ser>
        <c:dLbls>
          <c:showLegendKey val="0"/>
          <c:showVal val="0"/>
          <c:showCatName val="0"/>
          <c:showSerName val="0"/>
          <c:showPercent val="0"/>
          <c:showBubbleSize val="0"/>
        </c:dLbls>
        <c:axId val="473874080"/>
        <c:axId val="473876432"/>
      </c:areaChart>
      <c:lineChart>
        <c:grouping val="standard"/>
        <c:varyColors val="0"/>
        <c:ser>
          <c:idx val="8"/>
          <c:order val="0"/>
          <c:tx>
            <c:v>Uncertainty - Central Estimate</c:v>
          </c:tx>
          <c:spPr>
            <a:ln w="28575" cap="rnd">
              <a:solidFill>
                <a:srgbClr val="0070C0"/>
              </a:solidFill>
              <a:round/>
            </a:ln>
            <a:effectLst/>
          </c:spPr>
          <c:marker>
            <c:symbol val="none"/>
          </c:marker>
          <c:cat>
            <c:strRef>
              <c:f>'Model Output'!$D$10:$H$10</c:f>
              <c:strCache>
                <c:ptCount val="5"/>
                <c:pt idx="0">
                  <c:v>Year+0</c:v>
                </c:pt>
                <c:pt idx="1">
                  <c:v>Year+1</c:v>
                </c:pt>
                <c:pt idx="2">
                  <c:v>Year+2</c:v>
                </c:pt>
                <c:pt idx="3">
                  <c:v>Year+3</c:v>
                </c:pt>
                <c:pt idx="4">
                  <c:v>Year+4</c:v>
                </c:pt>
              </c:strCache>
            </c:strRef>
          </c:cat>
          <c:val>
            <c:numRef>
              <c:f>'Model Output'!$D$11:$H$11</c:f>
              <c:numCache>
                <c:formatCode>General</c:formatCode>
                <c:ptCount val="5"/>
                <c:pt idx="0">
                  <c:v>3.2041003596150284</c:v>
                </c:pt>
                <c:pt idx="1">
                  <c:v>3.9113535434080058</c:v>
                </c:pt>
                <c:pt idx="2">
                  <c:v>4.4750491985494216</c:v>
                </c:pt>
                <c:pt idx="3">
                  <c:v>5.165442252683949</c:v>
                </c:pt>
                <c:pt idx="4">
                  <c:v>5.1555842098453208</c:v>
                </c:pt>
              </c:numCache>
            </c:numRef>
          </c:val>
          <c:smooth val="0"/>
          <c:extLst>
            <c:ext xmlns:c16="http://schemas.microsoft.com/office/drawing/2014/chart" uri="{C3380CC4-5D6E-409C-BE32-E72D297353CC}">
              <c16:uniqueId val="{00000005-9190-4BD9-8EEE-6F39794C9839}"/>
            </c:ext>
          </c:extLst>
        </c:ser>
        <c:ser>
          <c:idx val="5"/>
          <c:order val="6"/>
          <c:tx>
            <c:v>Forecast</c:v>
          </c:tx>
          <c:spPr>
            <a:ln w="28575" cap="rnd">
              <a:solidFill>
                <a:schemeClr val="tx1"/>
              </a:solidFill>
              <a:round/>
            </a:ln>
            <a:effectLst/>
          </c:spPr>
          <c:marker>
            <c:symbol val="none"/>
          </c:marker>
          <c:val>
            <c:numRef>
              <c:f>'Model Output'!$D$7:$H$7</c:f>
              <c:numCache>
                <c:formatCode>0</c:formatCode>
                <c:ptCount val="5"/>
              </c:numCache>
            </c:numRef>
          </c:val>
          <c:smooth val="0"/>
          <c:extLst>
            <c:ext xmlns:c16="http://schemas.microsoft.com/office/drawing/2014/chart" uri="{C3380CC4-5D6E-409C-BE32-E72D297353CC}">
              <c16:uniqueId val="{00000000-DD58-44DA-9207-C88CC0074042}"/>
            </c:ext>
          </c:extLst>
        </c:ser>
        <c:dLbls>
          <c:showLegendKey val="0"/>
          <c:showVal val="0"/>
          <c:showCatName val="0"/>
          <c:showSerName val="0"/>
          <c:showPercent val="0"/>
          <c:showBubbleSize val="0"/>
        </c:dLbls>
        <c:marker val="1"/>
        <c:smooth val="0"/>
        <c:axId val="473874080"/>
        <c:axId val="473876432"/>
      </c:lineChart>
      <c:catAx>
        <c:axId val="47387408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473876432"/>
        <c:crossesAt val="-300"/>
        <c:auto val="1"/>
        <c:lblAlgn val="ctr"/>
        <c:lblOffset val="100"/>
        <c:noMultiLvlLbl val="0"/>
      </c:catAx>
      <c:valAx>
        <c:axId val="4738764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GB"/>
                  <a:t>£m</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473874080"/>
        <c:crosses val="autoZero"/>
        <c:crossBetween val="between"/>
      </c:valAx>
      <c:spPr>
        <a:noFill/>
        <a:ln>
          <a:noFill/>
        </a:ln>
        <a:effectLst/>
      </c:spPr>
    </c:plotArea>
    <c:legend>
      <c:legendPos val="b"/>
      <c:legendEntry>
        <c:idx val="0"/>
        <c:delete val="1"/>
      </c:legendEntry>
      <c:legendEntry>
        <c:idx val="1"/>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Entry>
      <c:legendEntry>
        <c:idx val="2"/>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Entry>
      <c:legendEntry>
        <c:idx val="3"/>
        <c:delete val="1"/>
      </c:legendEntry>
      <c:legendEntry>
        <c:idx val="4"/>
        <c:delete val="1"/>
      </c:legendEntry>
      <c:legendEntry>
        <c:idx val="5"/>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Entry>
      <c:legendEntry>
        <c:idx val="6"/>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Entry>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zero"/>
    <c:showDLblsOverMax val="0"/>
  </c:chart>
  <c:spPr>
    <a:solidFill>
      <a:sysClr val="window" lastClr="FFFFFF"/>
    </a:solidFill>
    <a:ln w="9525" cap="flat" cmpd="sng" algn="ctr">
      <a:noFill/>
      <a:round/>
    </a:ln>
    <a:effec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xdr:col>
      <xdr:colOff>396240</xdr:colOff>
      <xdr:row>13</xdr:row>
      <xdr:rowOff>167640</xdr:rowOff>
    </xdr:from>
    <xdr:to>
      <xdr:col>2</xdr:col>
      <xdr:colOff>914400</xdr:colOff>
      <xdr:row>17</xdr:row>
      <xdr:rowOff>99060</xdr:rowOff>
    </xdr:to>
    <xdr:sp macro="[0]!RunAll" textlink="">
      <xdr:nvSpPr>
        <xdr:cNvPr id="2" name="Rectangle: Rounded Corners 1">
          <a:extLst>
            <a:ext uri="{FF2B5EF4-FFF2-40B4-BE49-F238E27FC236}">
              <a16:creationId xmlns:a16="http://schemas.microsoft.com/office/drawing/2014/main" id="{E90E407F-CDCA-4F7F-A47C-6CC1A538283D}"/>
            </a:ext>
          </a:extLst>
        </xdr:cNvPr>
        <xdr:cNvSpPr/>
      </xdr:nvSpPr>
      <xdr:spPr>
        <a:xfrm>
          <a:off x="579120" y="2545080"/>
          <a:ext cx="1493520" cy="6629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000"/>
            <a:t>RUN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52</xdr:row>
      <xdr:rowOff>0</xdr:rowOff>
    </xdr:from>
    <xdr:to>
      <xdr:col>0</xdr:col>
      <xdr:colOff>223594</xdr:colOff>
      <xdr:row>72</xdr:row>
      <xdr:rowOff>150000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35</xdr:row>
      <xdr:rowOff>47625</xdr:rowOff>
    </xdr:from>
    <xdr:to>
      <xdr:col>1</xdr:col>
      <xdr:colOff>0</xdr:colOff>
      <xdr:row>35</xdr:row>
      <xdr:rowOff>47625</xdr:rowOff>
    </xdr:to>
    <xdr:cxnSp macro="">
      <xdr:nvCxnSpPr>
        <xdr:cNvPr id="7" name="Straight Connector 6">
          <a:extLst>
            <a:ext uri="{FF2B5EF4-FFF2-40B4-BE49-F238E27FC236}">
              <a16:creationId xmlns:a16="http://schemas.microsoft.com/office/drawing/2014/main" id="{00000000-0008-0000-0700-000007000000}"/>
            </a:ext>
          </a:extLst>
        </xdr:cNvPr>
        <xdr:cNvCxnSpPr/>
      </xdr:nvCxnSpPr>
      <xdr:spPr>
        <a:xfrm>
          <a:off x="21666994" y="5899785"/>
          <a:ext cx="4927283" cy="0"/>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47</xdr:row>
      <xdr:rowOff>0</xdr:rowOff>
    </xdr:from>
    <xdr:to>
      <xdr:col>0</xdr:col>
      <xdr:colOff>223594</xdr:colOff>
      <xdr:row>67</xdr:row>
      <xdr:rowOff>150000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30</xdr:row>
      <xdr:rowOff>47625</xdr:rowOff>
    </xdr:from>
    <xdr:to>
      <xdr:col>1</xdr:col>
      <xdr:colOff>0</xdr:colOff>
      <xdr:row>30</xdr:row>
      <xdr:rowOff>47625</xdr:rowOff>
    </xdr:to>
    <xdr:cxnSp macro="">
      <xdr:nvCxnSpPr>
        <xdr:cNvPr id="3" name="Straight Connector 2">
          <a:extLst>
            <a:ext uri="{FF2B5EF4-FFF2-40B4-BE49-F238E27FC236}">
              <a16:creationId xmlns:a16="http://schemas.microsoft.com/office/drawing/2014/main" id="{00000000-0008-0000-0800-000003000000}"/>
            </a:ext>
          </a:extLst>
        </xdr:cNvPr>
        <xdr:cNvCxnSpPr/>
      </xdr:nvCxnSpPr>
      <xdr:spPr>
        <a:xfrm>
          <a:off x="0" y="5328285"/>
          <a:ext cx="624840" cy="0"/>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578642</xdr:colOff>
      <xdr:row>8</xdr:row>
      <xdr:rowOff>161925</xdr:rowOff>
    </xdr:from>
    <xdr:to>
      <xdr:col>19</xdr:col>
      <xdr:colOff>266455</xdr:colOff>
      <xdr:row>28</xdr:row>
      <xdr:rowOff>130951</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44"/>
    <pageSetUpPr fitToPage="1"/>
  </sheetPr>
  <dimension ref="A1:L35"/>
  <sheetViews>
    <sheetView showGridLines="0" tabSelected="1" workbookViewId="0">
      <selection activeCell="C25" sqref="C25"/>
    </sheetView>
  </sheetViews>
  <sheetFormatPr defaultRowHeight="12.75" customHeight="1" x14ac:dyDescent="0.25"/>
  <cols>
    <col min="1" max="1" width="2.6640625" style="171" customWidth="1"/>
    <col min="2" max="3" width="20.6640625" style="171" customWidth="1"/>
    <col min="4" max="4" width="10.6640625" style="171" customWidth="1"/>
    <col min="5" max="5" width="15.6640625" style="171" customWidth="1"/>
    <col min="6" max="7" width="30.6640625" style="171" customWidth="1"/>
    <col min="8" max="8" width="35.6640625" style="171" customWidth="1"/>
    <col min="9" max="16384" width="8.88671875" style="171"/>
  </cols>
  <sheetData>
    <row r="1" spans="1:12" s="140" customFormat="1" ht="13.2" x14ac:dyDescent="0.25">
      <c r="D1" s="186" t="s">
        <v>401</v>
      </c>
      <c r="K1" s="141"/>
    </row>
    <row r="2" spans="1:12" s="142" customFormat="1" ht="13.2" x14ac:dyDescent="0.25">
      <c r="C2" s="143"/>
      <c r="D2" s="187"/>
      <c r="E2" s="144"/>
      <c r="K2" s="145"/>
    </row>
    <row r="3" spans="1:12" s="146" customFormat="1" ht="13.8" thickBot="1" x14ac:dyDescent="0.3">
      <c r="A3" s="188"/>
      <c r="B3" s="188"/>
    </row>
    <row r="4" spans="1:12" s="147" customFormat="1" ht="12.75" customHeight="1" x14ac:dyDescent="0.25"/>
    <row r="5" spans="1:12" s="147" customFormat="1" ht="12.75" customHeight="1" x14ac:dyDescent="0.3">
      <c r="B5" s="148" t="s">
        <v>402</v>
      </c>
      <c r="C5" s="149"/>
      <c r="L5" s="150"/>
    </row>
    <row r="6" spans="1:12" s="151" customFormat="1" ht="12.75" customHeight="1" x14ac:dyDescent="0.25">
      <c r="B6" s="152" t="s">
        <v>403</v>
      </c>
      <c r="C6" s="189" t="s">
        <v>404</v>
      </c>
      <c r="D6" s="190"/>
      <c r="E6" s="191"/>
    </row>
    <row r="7" spans="1:12" s="153" customFormat="1" ht="12.75" customHeight="1" x14ac:dyDescent="0.25">
      <c r="A7" s="150"/>
      <c r="B7" s="152" t="s">
        <v>405</v>
      </c>
      <c r="C7" s="192" t="s">
        <v>421</v>
      </c>
      <c r="D7" s="193"/>
      <c r="E7" s="194"/>
    </row>
    <row r="8" spans="1:12" s="151" customFormat="1" ht="39.75" customHeight="1" x14ac:dyDescent="0.25">
      <c r="B8" s="152" t="s">
        <v>406</v>
      </c>
      <c r="C8" s="195" t="s">
        <v>422</v>
      </c>
      <c r="D8" s="195"/>
      <c r="E8" s="195"/>
    </row>
    <row r="9" spans="1:12" s="151" customFormat="1" ht="13.2" x14ac:dyDescent="0.25">
      <c r="B9" s="154"/>
      <c r="C9" s="155"/>
      <c r="D9" s="155"/>
      <c r="E9" s="155"/>
    </row>
    <row r="10" spans="1:12" s="151" customFormat="1" ht="12.75" customHeight="1" x14ac:dyDescent="0.25"/>
    <row r="11" spans="1:12" s="151" customFormat="1" ht="12.75" customHeight="1" x14ac:dyDescent="0.3">
      <c r="B11" s="156" t="s">
        <v>407</v>
      </c>
    </row>
    <row r="12" spans="1:12" s="151" customFormat="1" ht="15" customHeight="1" x14ac:dyDescent="0.25">
      <c r="B12" s="157" t="s">
        <v>408</v>
      </c>
      <c r="C12" s="183" t="s">
        <v>409</v>
      </c>
      <c r="D12" s="184"/>
      <c r="E12" s="184"/>
      <c r="F12" s="184"/>
      <c r="G12" s="185"/>
    </row>
    <row r="13" spans="1:12" s="151" customFormat="1" ht="13.2" x14ac:dyDescent="0.25">
      <c r="B13" s="173" t="s">
        <v>401</v>
      </c>
      <c r="C13" s="180" t="s">
        <v>438</v>
      </c>
      <c r="D13" s="181"/>
      <c r="E13" s="181"/>
      <c r="F13" s="181"/>
      <c r="G13" s="182"/>
    </row>
    <row r="14" spans="1:12" s="151" customFormat="1" ht="12.75" customHeight="1" x14ac:dyDescent="0.25">
      <c r="B14" s="174" t="s">
        <v>423</v>
      </c>
      <c r="C14" s="180" t="s">
        <v>427</v>
      </c>
      <c r="D14" s="181"/>
      <c r="E14" s="181"/>
      <c r="F14" s="181"/>
      <c r="G14" s="182"/>
    </row>
    <row r="15" spans="1:12" s="151" customFormat="1" ht="12.75" customHeight="1" x14ac:dyDescent="0.25">
      <c r="B15" s="172" t="s">
        <v>424</v>
      </c>
      <c r="C15" s="180" t="s">
        <v>428</v>
      </c>
      <c r="D15" s="181"/>
      <c r="E15" s="181"/>
      <c r="F15" s="181"/>
      <c r="G15" s="182"/>
    </row>
    <row r="16" spans="1:12" s="151" customFormat="1" ht="12.75" customHeight="1" x14ac:dyDescent="0.25">
      <c r="B16" s="175" t="s">
        <v>410</v>
      </c>
      <c r="C16" s="180" t="s">
        <v>429</v>
      </c>
      <c r="D16" s="181"/>
      <c r="E16" s="181"/>
      <c r="F16" s="181"/>
      <c r="G16" s="182"/>
    </row>
    <row r="17" spans="2:8" s="151" customFormat="1" ht="12.75" customHeight="1" x14ac:dyDescent="0.25">
      <c r="B17" s="175" t="s">
        <v>298</v>
      </c>
      <c r="C17" s="180" t="s">
        <v>430</v>
      </c>
      <c r="D17" s="181"/>
      <c r="E17" s="181"/>
      <c r="F17" s="181"/>
      <c r="G17" s="182"/>
    </row>
    <row r="18" spans="2:8" s="151" customFormat="1" ht="12.75" customHeight="1" x14ac:dyDescent="0.25">
      <c r="B18" s="176" t="s">
        <v>425</v>
      </c>
      <c r="C18" s="180" t="s">
        <v>431</v>
      </c>
      <c r="D18" s="181"/>
      <c r="E18" s="181"/>
      <c r="F18" s="181"/>
      <c r="G18" s="182"/>
    </row>
    <row r="19" spans="2:8" s="151" customFormat="1" ht="12.75" customHeight="1" x14ac:dyDescent="0.25">
      <c r="B19" s="176" t="s">
        <v>426</v>
      </c>
      <c r="C19" s="180" t="s">
        <v>432</v>
      </c>
      <c r="D19" s="181"/>
      <c r="E19" s="181"/>
      <c r="F19" s="181"/>
      <c r="G19" s="182"/>
    </row>
    <row r="20" spans="2:8" s="151" customFormat="1" ht="12.75" customHeight="1" x14ac:dyDescent="0.25"/>
    <row r="21" spans="2:8" s="151" customFormat="1" ht="12.75" customHeight="1" x14ac:dyDescent="0.25"/>
    <row r="22" spans="2:8" s="151" customFormat="1" ht="12.75" customHeight="1" x14ac:dyDescent="0.3">
      <c r="B22" s="156" t="s">
        <v>411</v>
      </c>
      <c r="C22" s="150"/>
      <c r="D22" s="150"/>
      <c r="E22" s="158"/>
      <c r="F22" s="159"/>
      <c r="G22" s="159"/>
    </row>
    <row r="23" spans="2:8" s="151" customFormat="1" ht="12.75" customHeight="1" x14ac:dyDescent="0.25">
      <c r="B23" s="160" t="s">
        <v>412</v>
      </c>
      <c r="C23" s="160" t="s">
        <v>413</v>
      </c>
      <c r="E23" s="158"/>
      <c r="F23" s="159"/>
      <c r="G23" s="159"/>
    </row>
    <row r="24" spans="2:8" s="151" customFormat="1" ht="12.75" customHeight="1" x14ac:dyDescent="0.25">
      <c r="B24" s="179">
        <v>1.1000000000000001</v>
      </c>
      <c r="C24" s="161">
        <v>43672</v>
      </c>
      <c r="E24" s="158"/>
      <c r="F24" s="159"/>
      <c r="G24" s="159"/>
    </row>
    <row r="25" spans="2:8" s="151" customFormat="1" ht="12.75" customHeight="1" x14ac:dyDescent="0.25">
      <c r="B25" s="162"/>
      <c r="C25" s="162"/>
      <c r="D25" s="162"/>
      <c r="E25" s="158"/>
      <c r="F25" s="159"/>
      <c r="G25" s="159"/>
    </row>
    <row r="26" spans="2:8" s="151" customFormat="1" ht="12.75" customHeight="1" x14ac:dyDescent="0.25">
      <c r="B26" s="158"/>
      <c r="C26" s="158"/>
      <c r="D26" s="158"/>
      <c r="E26" s="158"/>
      <c r="F26" s="159"/>
      <c r="G26" s="159"/>
    </row>
    <row r="27" spans="2:8" s="151" customFormat="1" ht="12.75" customHeight="1" x14ac:dyDescent="0.3">
      <c r="B27" s="163" t="s">
        <v>414</v>
      </c>
    </row>
    <row r="28" spans="2:8" s="151" customFormat="1" ht="12.75" customHeight="1" x14ac:dyDescent="0.25">
      <c r="B28" s="164" t="s">
        <v>412</v>
      </c>
      <c r="C28" s="160" t="s">
        <v>415</v>
      </c>
      <c r="D28" s="164" t="s">
        <v>416</v>
      </c>
      <c r="E28" s="164" t="s">
        <v>417</v>
      </c>
      <c r="F28" s="164" t="s">
        <v>418</v>
      </c>
      <c r="G28" s="164" t="s">
        <v>419</v>
      </c>
      <c r="H28" s="164" t="s">
        <v>15</v>
      </c>
    </row>
    <row r="29" spans="2:8" s="151" customFormat="1" ht="12.75" customHeight="1" x14ac:dyDescent="0.25">
      <c r="B29" s="178">
        <v>1</v>
      </c>
      <c r="C29" s="166"/>
      <c r="D29" s="167">
        <v>43665</v>
      </c>
      <c r="E29" s="165" t="s">
        <v>404</v>
      </c>
      <c r="F29" s="165" t="s">
        <v>420</v>
      </c>
      <c r="G29" s="165"/>
      <c r="H29" s="165"/>
    </row>
    <row r="30" spans="2:8" s="151" customFormat="1" ht="26.4" x14ac:dyDescent="0.25">
      <c r="B30" s="165">
        <v>1.1000000000000001</v>
      </c>
      <c r="C30" s="177">
        <v>1</v>
      </c>
      <c r="D30" s="167">
        <v>43672</v>
      </c>
      <c r="E30" s="165" t="s">
        <v>404</v>
      </c>
      <c r="F30" s="165" t="s">
        <v>437</v>
      </c>
      <c r="G30" s="165"/>
      <c r="H30" s="165"/>
    </row>
    <row r="31" spans="2:8" s="151" customFormat="1" ht="12.75" customHeight="1" x14ac:dyDescent="0.25">
      <c r="B31" s="165"/>
      <c r="C31" s="166"/>
      <c r="D31" s="167"/>
      <c r="E31" s="165"/>
      <c r="F31" s="165"/>
      <c r="G31" s="165"/>
      <c r="H31" s="165"/>
    </row>
    <row r="32" spans="2:8" s="151" customFormat="1" ht="13.2" x14ac:dyDescent="0.25">
      <c r="B32" s="165"/>
      <c r="C32" s="166"/>
      <c r="D32" s="168"/>
      <c r="E32" s="165"/>
      <c r="F32" s="165"/>
      <c r="G32" s="165"/>
      <c r="H32" s="165"/>
    </row>
    <row r="33" spans="2:8" s="151" customFormat="1" ht="12.75" customHeight="1" x14ac:dyDescent="0.25">
      <c r="B33" s="165"/>
      <c r="C33" s="166"/>
      <c r="D33" s="168"/>
      <c r="E33" s="165"/>
      <c r="F33" s="165"/>
      <c r="G33" s="165"/>
      <c r="H33" s="165"/>
    </row>
    <row r="34" spans="2:8" s="151" customFormat="1" ht="12.75" customHeight="1" x14ac:dyDescent="0.25">
      <c r="B34" s="169"/>
      <c r="C34" s="170"/>
      <c r="D34" s="168"/>
      <c r="E34" s="169"/>
      <c r="F34" s="169"/>
      <c r="G34" s="169"/>
      <c r="H34" s="165"/>
    </row>
    <row r="35" spans="2:8" s="151" customFormat="1" ht="12.75" customHeight="1" x14ac:dyDescent="0.25"/>
  </sheetData>
  <protectedRanges>
    <protectedRange sqref="C6:E7" name="Range1"/>
  </protectedRanges>
  <mergeCells count="13">
    <mergeCell ref="C12:G12"/>
    <mergeCell ref="D1:D2"/>
    <mergeCell ref="A3:B3"/>
    <mergeCell ref="C6:E6"/>
    <mergeCell ref="C7:E7"/>
    <mergeCell ref="C8:E8"/>
    <mergeCell ref="C17:G17"/>
    <mergeCell ref="C18:G18"/>
    <mergeCell ref="C19:G19"/>
    <mergeCell ref="C13:G13"/>
    <mergeCell ref="C14:G14"/>
    <mergeCell ref="C15:G15"/>
    <mergeCell ref="C16:G16"/>
  </mergeCells>
  <hyperlinks>
    <hyperlink ref="B13" location="'Data Register'!A1" display="Data Register"/>
    <hyperlink ref="B14" location="Register!A1" display="Register"/>
    <hyperlink ref="B15" location="Inputs!A1" display="Inputs"/>
    <hyperlink ref="B16" location="Calculations!A1" display="Calculations"/>
    <hyperlink ref="B17" location="'Current Run'!A1" display="Current Run"/>
    <hyperlink ref="B18" location="Outputs!A1" display="Outputs"/>
    <hyperlink ref="B19" location="'Model Output'!A1" display="Model Output"/>
  </hyperlinks>
  <pageMargins left="0.75" right="0.75" top="1" bottom="1" header="0.5" footer="0.5"/>
  <pageSetup paperSize="9" scale="65" orientation="landscape"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79998168889431442"/>
  </sheetPr>
  <dimension ref="A1:AJ8"/>
  <sheetViews>
    <sheetView zoomScale="70" zoomScaleNormal="70" workbookViewId="0">
      <selection activeCell="C7" sqref="C7"/>
    </sheetView>
  </sheetViews>
  <sheetFormatPr defaultColWidth="9.44140625" defaultRowHeight="15.6" x14ac:dyDescent="0.3"/>
  <cols>
    <col min="1" max="1" width="19.33203125" style="100" customWidth="1"/>
    <col min="2" max="2" width="19.109375" style="97" customWidth="1"/>
    <col min="3" max="3" width="119.33203125" style="97" customWidth="1"/>
    <col min="4" max="4" width="20.109375" style="97" customWidth="1"/>
    <col min="5" max="26" width="10" style="97" customWidth="1"/>
    <col min="27" max="31" width="10.21875" style="98" customWidth="1"/>
    <col min="32" max="32" width="27.33203125" style="97" bestFit="1" customWidth="1"/>
    <col min="33" max="33" width="16.6640625" style="97" bestFit="1" customWidth="1"/>
    <col min="34" max="34" width="14.6640625" style="97" bestFit="1" customWidth="1"/>
    <col min="35" max="35" width="16" style="97" bestFit="1" customWidth="1"/>
    <col min="36" max="36" width="16.109375" style="97" bestFit="1" customWidth="1"/>
    <col min="37" max="16384" width="9.44140625" style="97"/>
  </cols>
  <sheetData>
    <row r="1" spans="1:36" ht="46.8" x14ac:dyDescent="0.3">
      <c r="A1" s="99" t="s">
        <v>314</v>
      </c>
      <c r="B1" s="99" t="s">
        <v>283</v>
      </c>
      <c r="C1" s="99" t="s">
        <v>36</v>
      </c>
      <c r="D1" s="99" t="s">
        <v>284</v>
      </c>
      <c r="E1" s="99" t="s">
        <v>357</v>
      </c>
      <c r="F1" s="99" t="s">
        <v>295</v>
      </c>
      <c r="G1" s="99" t="s">
        <v>333</v>
      </c>
      <c r="H1" s="99" t="s">
        <v>334</v>
      </c>
      <c r="I1" s="99" t="s">
        <v>335</v>
      </c>
      <c r="J1" s="99" t="s">
        <v>385</v>
      </c>
      <c r="K1" s="99" t="s">
        <v>394</v>
      </c>
      <c r="L1" s="99" t="s">
        <v>336</v>
      </c>
      <c r="M1" s="99" t="s">
        <v>337</v>
      </c>
      <c r="N1" s="99" t="s">
        <v>338</v>
      </c>
      <c r="O1" s="99" t="s">
        <v>387</v>
      </c>
      <c r="P1" s="99" t="s">
        <v>395</v>
      </c>
      <c r="Q1" s="99" t="s">
        <v>339</v>
      </c>
      <c r="R1" s="99" t="s">
        <v>340</v>
      </c>
      <c r="S1" s="99" t="s">
        <v>341</v>
      </c>
      <c r="T1" s="99" t="s">
        <v>388</v>
      </c>
      <c r="U1" s="99" t="s">
        <v>396</v>
      </c>
      <c r="V1" s="99" t="s">
        <v>342</v>
      </c>
      <c r="W1" s="99" t="s">
        <v>343</v>
      </c>
      <c r="X1" s="99" t="s">
        <v>344</v>
      </c>
      <c r="Y1" s="99" t="s">
        <v>389</v>
      </c>
      <c r="Z1" s="99" t="s">
        <v>397</v>
      </c>
      <c r="AA1" s="99" t="s">
        <v>345</v>
      </c>
      <c r="AB1" s="99" t="s">
        <v>346</v>
      </c>
      <c r="AC1" s="99" t="s">
        <v>347</v>
      </c>
      <c r="AD1" s="99" t="s">
        <v>390</v>
      </c>
      <c r="AE1" s="99" t="s">
        <v>398</v>
      </c>
      <c r="AF1" s="99" t="s">
        <v>306</v>
      </c>
      <c r="AG1" s="99" t="s">
        <v>365</v>
      </c>
      <c r="AH1" s="99" t="s">
        <v>287</v>
      </c>
      <c r="AI1" s="99" t="s">
        <v>366</v>
      </c>
      <c r="AJ1" s="99" t="s">
        <v>294</v>
      </c>
    </row>
    <row r="2" spans="1:36" s="98" customFormat="1" ht="46.8" x14ac:dyDescent="0.3">
      <c r="A2" s="110" t="s">
        <v>315</v>
      </c>
      <c r="B2" s="111" t="s">
        <v>316</v>
      </c>
      <c r="C2" s="104" t="s">
        <v>386</v>
      </c>
      <c r="D2" s="104" t="s">
        <v>257</v>
      </c>
      <c r="E2" s="112" t="s">
        <v>285</v>
      </c>
      <c r="F2" s="112" t="s">
        <v>383</v>
      </c>
      <c r="G2" s="109">
        <v>0</v>
      </c>
      <c r="H2" s="109"/>
      <c r="I2" s="109"/>
      <c r="J2" s="109">
        <v>2</v>
      </c>
      <c r="K2" s="109"/>
      <c r="L2" s="109">
        <v>0</v>
      </c>
      <c r="M2" s="109"/>
      <c r="N2" s="109"/>
      <c r="O2" s="109">
        <v>4</v>
      </c>
      <c r="P2" s="109"/>
      <c r="Q2" s="109">
        <v>0</v>
      </c>
      <c r="R2" s="109"/>
      <c r="S2" s="109"/>
      <c r="T2" s="109">
        <v>6</v>
      </c>
      <c r="U2" s="109"/>
      <c r="V2" s="109">
        <v>0</v>
      </c>
      <c r="W2" s="109"/>
      <c r="X2" s="109"/>
      <c r="Y2" s="109">
        <v>8</v>
      </c>
      <c r="Z2" s="109"/>
      <c r="AA2" s="109">
        <v>0</v>
      </c>
      <c r="AB2" s="109"/>
      <c r="AC2" s="109"/>
      <c r="AD2" s="109">
        <v>10</v>
      </c>
      <c r="AE2" s="109"/>
      <c r="AF2" s="112"/>
      <c r="AG2" s="112"/>
      <c r="AH2" s="112"/>
      <c r="AI2" s="112"/>
      <c r="AJ2" s="112"/>
    </row>
    <row r="3" spans="1:36" ht="46.8" x14ac:dyDescent="0.3">
      <c r="A3" s="110" t="s">
        <v>317</v>
      </c>
      <c r="B3" s="111" t="s">
        <v>318</v>
      </c>
      <c r="C3" s="104" t="s">
        <v>363</v>
      </c>
      <c r="D3" s="104" t="s">
        <v>279</v>
      </c>
      <c r="E3" s="112" t="s">
        <v>285</v>
      </c>
      <c r="F3" s="112" t="s">
        <v>277</v>
      </c>
      <c r="G3" s="109"/>
      <c r="H3" s="109">
        <v>0</v>
      </c>
      <c r="I3" s="109">
        <v>5</v>
      </c>
      <c r="J3" s="109"/>
      <c r="K3" s="109"/>
      <c r="L3" s="109"/>
      <c r="M3" s="109">
        <v>0</v>
      </c>
      <c r="N3" s="109">
        <v>5</v>
      </c>
      <c r="O3" s="109"/>
      <c r="P3" s="109"/>
      <c r="Q3" s="109"/>
      <c r="R3" s="109">
        <v>0</v>
      </c>
      <c r="S3" s="109">
        <v>5</v>
      </c>
      <c r="T3" s="109"/>
      <c r="U3" s="109"/>
      <c r="V3" s="109"/>
      <c r="W3" s="109">
        <v>0</v>
      </c>
      <c r="X3" s="109">
        <v>5</v>
      </c>
      <c r="Y3" s="109"/>
      <c r="Z3" s="109"/>
      <c r="AA3" s="109"/>
      <c r="AB3" s="109">
        <v>0</v>
      </c>
      <c r="AC3" s="109">
        <v>5</v>
      </c>
      <c r="AD3" s="109"/>
      <c r="AE3" s="109"/>
      <c r="AF3" s="112"/>
      <c r="AG3" s="112"/>
      <c r="AH3" s="112"/>
      <c r="AI3" s="112"/>
      <c r="AJ3" s="112" t="s">
        <v>313</v>
      </c>
    </row>
    <row r="4" spans="1:36" ht="31.2" x14ac:dyDescent="0.3">
      <c r="A4" s="110" t="s">
        <v>319</v>
      </c>
      <c r="B4" s="111" t="s">
        <v>320</v>
      </c>
      <c r="C4" s="104" t="s">
        <v>321</v>
      </c>
      <c r="D4" s="104" t="s">
        <v>279</v>
      </c>
      <c r="E4" s="112" t="s">
        <v>285</v>
      </c>
      <c r="F4" s="112" t="s">
        <v>297</v>
      </c>
      <c r="G4" s="109">
        <v>2.5</v>
      </c>
      <c r="H4" s="109"/>
      <c r="I4" s="109"/>
      <c r="J4" s="109"/>
      <c r="K4" s="109"/>
      <c r="L4" s="109">
        <v>2.5</v>
      </c>
      <c r="M4" s="109"/>
      <c r="N4" s="109"/>
      <c r="O4" s="109"/>
      <c r="P4" s="109"/>
      <c r="Q4" s="109">
        <v>2.5</v>
      </c>
      <c r="R4" s="109"/>
      <c r="S4" s="109"/>
      <c r="T4" s="109"/>
      <c r="U4" s="109"/>
      <c r="V4" s="109">
        <v>2.5</v>
      </c>
      <c r="W4" s="109"/>
      <c r="X4" s="109"/>
      <c r="Y4" s="109"/>
      <c r="Z4" s="109"/>
      <c r="AA4" s="109">
        <v>2.5</v>
      </c>
      <c r="AB4" s="109"/>
      <c r="AC4" s="109"/>
      <c r="AD4" s="109"/>
      <c r="AE4" s="109"/>
      <c r="AF4" s="112" t="s">
        <v>317</v>
      </c>
      <c r="AG4" s="112" t="s">
        <v>286</v>
      </c>
      <c r="AH4" s="112"/>
      <c r="AI4" s="112"/>
      <c r="AJ4" s="112" t="s">
        <v>293</v>
      </c>
    </row>
    <row r="5" spans="1:36" ht="46.8" x14ac:dyDescent="0.3">
      <c r="A5" s="110" t="s">
        <v>322</v>
      </c>
      <c r="B5" s="111" t="s">
        <v>323</v>
      </c>
      <c r="C5" s="104" t="s">
        <v>364</v>
      </c>
      <c r="D5" s="104" t="s">
        <v>281</v>
      </c>
      <c r="E5" s="112" t="s">
        <v>285</v>
      </c>
      <c r="F5" s="112" t="s">
        <v>277</v>
      </c>
      <c r="G5" s="109"/>
      <c r="H5" s="109">
        <v>0</v>
      </c>
      <c r="I5" s="109">
        <v>3</v>
      </c>
      <c r="J5" s="109"/>
      <c r="K5" s="109"/>
      <c r="L5" s="109"/>
      <c r="M5" s="109">
        <v>0</v>
      </c>
      <c r="N5" s="109">
        <v>3</v>
      </c>
      <c r="O5" s="109"/>
      <c r="P5" s="109"/>
      <c r="Q5" s="109"/>
      <c r="R5" s="109">
        <v>0</v>
      </c>
      <c r="S5" s="109">
        <v>3</v>
      </c>
      <c r="T5" s="109"/>
      <c r="U5" s="109"/>
      <c r="V5" s="109"/>
      <c r="W5" s="109">
        <v>0</v>
      </c>
      <c r="X5" s="109">
        <v>3</v>
      </c>
      <c r="Y5" s="109"/>
      <c r="Z5" s="109"/>
      <c r="AA5" s="109"/>
      <c r="AB5" s="109">
        <v>0</v>
      </c>
      <c r="AC5" s="109">
        <v>3</v>
      </c>
      <c r="AD5" s="109"/>
      <c r="AE5" s="109"/>
      <c r="AF5" s="112" t="s">
        <v>317</v>
      </c>
      <c r="AG5" s="112" t="s">
        <v>331</v>
      </c>
      <c r="AH5" s="112" t="s">
        <v>317</v>
      </c>
      <c r="AI5" s="112" t="s">
        <v>301</v>
      </c>
      <c r="AJ5" s="112"/>
    </row>
    <row r="6" spans="1:36" ht="31.2" x14ac:dyDescent="0.3">
      <c r="A6" s="110" t="s">
        <v>324</v>
      </c>
      <c r="B6" s="111" t="s">
        <v>325</v>
      </c>
      <c r="C6" s="104" t="s">
        <v>326</v>
      </c>
      <c r="D6" s="104" t="s">
        <v>281</v>
      </c>
      <c r="E6" s="112" t="s">
        <v>285</v>
      </c>
      <c r="F6" s="112" t="s">
        <v>296</v>
      </c>
      <c r="G6" s="109">
        <v>-2</v>
      </c>
      <c r="H6" s="109">
        <v>-2</v>
      </c>
      <c r="I6" s="109">
        <v>-3</v>
      </c>
      <c r="J6" s="109"/>
      <c r="K6" s="109"/>
      <c r="L6" s="109">
        <v>-2</v>
      </c>
      <c r="M6" s="109">
        <v>-2</v>
      </c>
      <c r="N6" s="109">
        <v>-3</v>
      </c>
      <c r="O6" s="109"/>
      <c r="P6" s="109"/>
      <c r="Q6" s="109">
        <v>-2</v>
      </c>
      <c r="R6" s="109">
        <v>-2</v>
      </c>
      <c r="S6" s="109">
        <v>-3</v>
      </c>
      <c r="T6" s="109"/>
      <c r="U6" s="109"/>
      <c r="V6" s="109">
        <v>-2</v>
      </c>
      <c r="W6" s="109">
        <v>-2</v>
      </c>
      <c r="X6" s="109">
        <v>-3</v>
      </c>
      <c r="Y6" s="109"/>
      <c r="Z6" s="109"/>
      <c r="AA6" s="109">
        <v>-2</v>
      </c>
      <c r="AB6" s="109">
        <v>-2</v>
      </c>
      <c r="AC6" s="109">
        <v>-3</v>
      </c>
      <c r="AD6" s="109"/>
      <c r="AE6" s="109"/>
      <c r="AF6" s="112" t="s">
        <v>319</v>
      </c>
      <c r="AG6" s="112" t="s">
        <v>307</v>
      </c>
      <c r="AH6" s="112"/>
      <c r="AI6" s="112"/>
      <c r="AJ6" s="112" t="s">
        <v>293</v>
      </c>
    </row>
    <row r="7" spans="1:36" ht="46.8" x14ac:dyDescent="0.3">
      <c r="A7" s="110" t="s">
        <v>370</v>
      </c>
      <c r="B7" s="111" t="s">
        <v>371</v>
      </c>
      <c r="C7" s="104" t="s">
        <v>372</v>
      </c>
      <c r="D7" s="104" t="s">
        <v>278</v>
      </c>
      <c r="E7" s="112" t="s">
        <v>285</v>
      </c>
      <c r="F7" s="112" t="s">
        <v>296</v>
      </c>
      <c r="G7" s="109">
        <v>0</v>
      </c>
      <c r="H7" s="109">
        <v>0</v>
      </c>
      <c r="I7" s="109">
        <v>2</v>
      </c>
      <c r="J7" s="109"/>
      <c r="K7" s="109"/>
      <c r="L7" s="109">
        <v>0</v>
      </c>
      <c r="M7" s="109">
        <v>0</v>
      </c>
      <c r="N7" s="109">
        <v>4</v>
      </c>
      <c r="O7" s="109"/>
      <c r="P7" s="109"/>
      <c r="Q7" s="109">
        <v>0</v>
      </c>
      <c r="R7" s="109">
        <v>0</v>
      </c>
      <c r="S7" s="109">
        <v>6</v>
      </c>
      <c r="T7" s="109"/>
      <c r="U7" s="109"/>
      <c r="V7" s="109">
        <v>0</v>
      </c>
      <c r="W7" s="109">
        <v>0</v>
      </c>
      <c r="X7" s="109">
        <v>8</v>
      </c>
      <c r="Y7" s="109"/>
      <c r="Z7" s="109"/>
      <c r="AA7" s="109">
        <v>0</v>
      </c>
      <c r="AB7" s="109">
        <v>0</v>
      </c>
      <c r="AC7" s="109">
        <v>10</v>
      </c>
      <c r="AD7" s="109"/>
      <c r="AE7" s="109"/>
      <c r="AF7" s="112"/>
      <c r="AG7" s="112"/>
      <c r="AH7" s="112"/>
      <c r="AI7" s="112"/>
      <c r="AJ7" s="112" t="s">
        <v>293</v>
      </c>
    </row>
    <row r="8" spans="1:36" ht="31.2" x14ac:dyDescent="0.3">
      <c r="A8" s="110" t="s">
        <v>392</v>
      </c>
      <c r="B8" s="111" t="s">
        <v>393</v>
      </c>
      <c r="C8" s="104" t="s">
        <v>399</v>
      </c>
      <c r="D8" s="104" t="s">
        <v>257</v>
      </c>
      <c r="E8" s="112" t="s">
        <v>285</v>
      </c>
      <c r="F8" s="112" t="s">
        <v>384</v>
      </c>
      <c r="G8" s="138">
        <v>5</v>
      </c>
      <c r="H8" s="109"/>
      <c r="I8" s="109"/>
      <c r="J8" s="109"/>
      <c r="K8" s="139">
        <v>0.5</v>
      </c>
      <c r="L8" s="138">
        <v>5</v>
      </c>
      <c r="M8" s="109"/>
      <c r="N8" s="109"/>
      <c r="O8" s="109"/>
      <c r="P8" s="139">
        <v>0.5</v>
      </c>
      <c r="Q8" s="138">
        <v>5</v>
      </c>
      <c r="R8" s="109"/>
      <c r="S8" s="109"/>
      <c r="T8" s="109"/>
      <c r="U8" s="139">
        <v>0.5</v>
      </c>
      <c r="V8" s="138">
        <v>5</v>
      </c>
      <c r="W8" s="109"/>
      <c r="X8" s="109"/>
      <c r="Y8" s="109"/>
      <c r="Z8" s="139">
        <v>0.5</v>
      </c>
      <c r="AA8" s="138">
        <v>5</v>
      </c>
      <c r="AB8" s="109"/>
      <c r="AC8" s="109"/>
      <c r="AD8" s="109"/>
      <c r="AE8" s="139">
        <v>0.5</v>
      </c>
      <c r="AF8" s="112"/>
      <c r="AG8" s="112"/>
      <c r="AH8" s="112"/>
      <c r="AI8" s="112"/>
      <c r="AJ8" s="112"/>
    </row>
  </sheetData>
  <autoFilter ref="A1:AJ6"/>
  <conditionalFormatting sqref="E3:F3 AF3:AJ3">
    <cfRule type="cellIs" dxfId="162" priority="281" stopIfTrue="1" operator="equal">
      <formula>#REF!</formula>
    </cfRule>
  </conditionalFormatting>
  <conditionalFormatting sqref="E4">
    <cfRule type="cellIs" dxfId="161" priority="274" stopIfTrue="1" operator="equal">
      <formula>#REF!</formula>
    </cfRule>
  </conditionalFormatting>
  <conditionalFormatting sqref="E5">
    <cfRule type="cellIs" dxfId="160" priority="273" stopIfTrue="1" operator="equal">
      <formula>#REF!</formula>
    </cfRule>
  </conditionalFormatting>
  <conditionalFormatting sqref="F5">
    <cfRule type="cellIs" dxfId="159" priority="272" stopIfTrue="1" operator="equal">
      <formula>#REF!</formula>
    </cfRule>
  </conditionalFormatting>
  <conditionalFormatting sqref="E6">
    <cfRule type="cellIs" dxfId="158" priority="271" stopIfTrue="1" operator="equal">
      <formula>#REF!</formula>
    </cfRule>
  </conditionalFormatting>
  <conditionalFormatting sqref="G2">
    <cfRule type="expression" dxfId="157" priority="267">
      <formula>$F2="Point"</formula>
    </cfRule>
  </conditionalFormatting>
  <conditionalFormatting sqref="E7">
    <cfRule type="cellIs" dxfId="156" priority="263" stopIfTrue="1" operator="equal">
      <formula>#REF!</formula>
    </cfRule>
  </conditionalFormatting>
  <conditionalFormatting sqref="J2">
    <cfRule type="expression" dxfId="155" priority="259">
      <formula>$F2="Normal"</formula>
    </cfRule>
  </conditionalFormatting>
  <conditionalFormatting sqref="G2">
    <cfRule type="expression" dxfId="154" priority="257">
      <formula>$F2="Triangular"</formula>
    </cfRule>
    <cfRule type="expression" dxfId="153" priority="258">
      <formula>$F2="Normal"</formula>
    </cfRule>
  </conditionalFormatting>
  <conditionalFormatting sqref="Q9:Q1048576">
    <cfRule type="expression" dxfId="152" priority="231">
      <formula>$F9="Triangular"</formula>
    </cfRule>
    <cfRule type="expression" dxfId="151" priority="232">
      <formula>$F9="Normal"</formula>
    </cfRule>
  </conditionalFormatting>
  <conditionalFormatting sqref="L9:L1048576">
    <cfRule type="expression" dxfId="150" priority="237">
      <formula>$F9="Triangular"</formula>
    </cfRule>
    <cfRule type="expression" dxfId="149" priority="238">
      <formula>$F9="Normal"</formula>
    </cfRule>
  </conditionalFormatting>
  <conditionalFormatting sqref="H2:I2">
    <cfRule type="expression" dxfId="148" priority="241">
      <formula>$F2="Uniform"</formula>
    </cfRule>
    <cfRule type="expression" dxfId="147" priority="242">
      <formula>$F2="Triangular"</formula>
    </cfRule>
  </conditionalFormatting>
  <conditionalFormatting sqref="O2">
    <cfRule type="expression" dxfId="146" priority="239">
      <formula>$F2="Normal"</formula>
    </cfRule>
  </conditionalFormatting>
  <conditionalFormatting sqref="M2:N2">
    <cfRule type="expression" dxfId="145" priority="235">
      <formula>$F2="Uniform"</formula>
    </cfRule>
    <cfRule type="expression" dxfId="144" priority="236">
      <formula>$F2="Triangular"</formula>
    </cfRule>
  </conditionalFormatting>
  <conditionalFormatting sqref="T2">
    <cfRule type="expression" dxfId="143" priority="233">
      <formula>$F2="Normal"</formula>
    </cfRule>
  </conditionalFormatting>
  <conditionalFormatting sqref="R2:S2">
    <cfRule type="expression" dxfId="142" priority="229">
      <formula>$F2="Uniform"</formula>
    </cfRule>
    <cfRule type="expression" dxfId="141" priority="230">
      <formula>$F2="Triangular"</formula>
    </cfRule>
  </conditionalFormatting>
  <conditionalFormatting sqref="Y2">
    <cfRule type="expression" dxfId="140" priority="227">
      <formula>$F2="Normal"</formula>
    </cfRule>
  </conditionalFormatting>
  <conditionalFormatting sqref="W2:X2">
    <cfRule type="expression" dxfId="139" priority="223">
      <formula>$F2="Uniform"</formula>
    </cfRule>
    <cfRule type="expression" dxfId="138" priority="224">
      <formula>$F2="Triangular"</formula>
    </cfRule>
  </conditionalFormatting>
  <conditionalFormatting sqref="AD2">
    <cfRule type="expression" dxfId="137" priority="221">
      <formula>$F2="Normal"</formula>
    </cfRule>
  </conditionalFormatting>
  <conditionalFormatting sqref="AB2:AC2">
    <cfRule type="expression" dxfId="136" priority="217">
      <formula>$F2="Uniform"</formula>
    </cfRule>
    <cfRule type="expression" dxfId="135" priority="218">
      <formula>$F2="Triangular"</formula>
    </cfRule>
  </conditionalFormatting>
  <conditionalFormatting sqref="E8">
    <cfRule type="cellIs" dxfId="134" priority="215" stopIfTrue="1" operator="equal">
      <formula>#REF!</formula>
    </cfRule>
  </conditionalFormatting>
  <conditionalFormatting sqref="G2">
    <cfRule type="expression" dxfId="133" priority="185">
      <formula>$F2="Poisson"</formula>
    </cfRule>
  </conditionalFormatting>
  <conditionalFormatting sqref="K2">
    <cfRule type="expression" dxfId="132" priority="161">
      <formula>$F2="Poisson"</formula>
    </cfRule>
  </conditionalFormatting>
  <conditionalFormatting sqref="P2">
    <cfRule type="expression" dxfId="131" priority="160">
      <formula>$F2="Poisson"</formula>
    </cfRule>
  </conditionalFormatting>
  <conditionalFormatting sqref="U2">
    <cfRule type="expression" dxfId="130" priority="159">
      <formula>$F2="Poisson"</formula>
    </cfRule>
  </conditionalFormatting>
  <conditionalFormatting sqref="Z2">
    <cfRule type="expression" dxfId="129" priority="158">
      <formula>$F2="Poisson"</formula>
    </cfRule>
  </conditionalFormatting>
  <conditionalFormatting sqref="AE2">
    <cfRule type="expression" dxfId="128" priority="157">
      <formula>$F2="Poisson"</formula>
    </cfRule>
  </conditionalFormatting>
  <conditionalFormatting sqref="AA2">
    <cfRule type="expression" dxfId="127" priority="61">
      <formula>$F2="Poisson"</formula>
    </cfRule>
  </conditionalFormatting>
  <conditionalFormatting sqref="Z3:Z7">
    <cfRule type="expression" dxfId="126" priority="38">
      <formula>$F3="Poisson"</formula>
    </cfRule>
  </conditionalFormatting>
  <conditionalFormatting sqref="AA3:AA7">
    <cfRule type="expression" dxfId="125" priority="21">
      <formula>$F3="Poisson"</formula>
    </cfRule>
  </conditionalFormatting>
  <conditionalFormatting sqref="L8">
    <cfRule type="expression" dxfId="124" priority="17">
      <formula>$F8="Poisson"</formula>
    </cfRule>
  </conditionalFormatting>
  <conditionalFormatting sqref="L2">
    <cfRule type="expression" dxfId="123" priority="76">
      <formula>$F2="Point"</formula>
    </cfRule>
  </conditionalFormatting>
  <conditionalFormatting sqref="L2">
    <cfRule type="expression" dxfId="122" priority="74">
      <formula>$F2="Triangular"</formula>
    </cfRule>
    <cfRule type="expression" dxfId="121" priority="75">
      <formula>$F2="Normal"</formula>
    </cfRule>
  </conditionalFormatting>
  <conditionalFormatting sqref="L2">
    <cfRule type="expression" dxfId="120" priority="73">
      <formula>$F2="Poisson"</formula>
    </cfRule>
  </conditionalFormatting>
  <conditionalFormatting sqref="Q2">
    <cfRule type="expression" dxfId="119" priority="72">
      <formula>$F2="Point"</formula>
    </cfRule>
  </conditionalFormatting>
  <conditionalFormatting sqref="Q2">
    <cfRule type="expression" dxfId="118" priority="70">
      <formula>$F2="Triangular"</formula>
    </cfRule>
    <cfRule type="expression" dxfId="117" priority="71">
      <formula>$F2="Normal"</formula>
    </cfRule>
  </conditionalFormatting>
  <conditionalFormatting sqref="Q2">
    <cfRule type="expression" dxfId="116" priority="69">
      <formula>$F2="Poisson"</formula>
    </cfRule>
  </conditionalFormatting>
  <conditionalFormatting sqref="V2">
    <cfRule type="expression" dxfId="115" priority="68">
      <formula>$F2="Point"</formula>
    </cfRule>
  </conditionalFormatting>
  <conditionalFormatting sqref="V2">
    <cfRule type="expression" dxfId="114" priority="66">
      <formula>$F2="Triangular"</formula>
    </cfRule>
    <cfRule type="expression" dxfId="113" priority="67">
      <formula>$F2="Normal"</formula>
    </cfRule>
  </conditionalFormatting>
  <conditionalFormatting sqref="V2">
    <cfRule type="expression" dxfId="112" priority="65">
      <formula>$F2="Poisson"</formula>
    </cfRule>
  </conditionalFormatting>
  <conditionalFormatting sqref="AA2">
    <cfRule type="expression" dxfId="111" priority="64">
      <formula>$F2="Point"</formula>
    </cfRule>
  </conditionalFormatting>
  <conditionalFormatting sqref="AA2">
    <cfRule type="expression" dxfId="110" priority="62">
      <formula>$F2="Triangular"</formula>
    </cfRule>
    <cfRule type="expression" dxfId="109" priority="63">
      <formula>$F2="Normal"</formula>
    </cfRule>
  </conditionalFormatting>
  <conditionalFormatting sqref="G3:G8">
    <cfRule type="expression" dxfId="108" priority="60">
      <formula>$F3="Point"</formula>
    </cfRule>
  </conditionalFormatting>
  <conditionalFormatting sqref="J3:J8">
    <cfRule type="expression" dxfId="107" priority="59">
      <formula>$F3="Normal"</formula>
    </cfRule>
  </conditionalFormatting>
  <conditionalFormatting sqref="G3:G8">
    <cfRule type="expression" dxfId="106" priority="57">
      <formula>$F3="Triangular"</formula>
    </cfRule>
    <cfRule type="expression" dxfId="105" priority="58">
      <formula>$F3="Normal"</formula>
    </cfRule>
  </conditionalFormatting>
  <conditionalFormatting sqref="H3:I8">
    <cfRule type="expression" dxfId="104" priority="55">
      <formula>$F3="Uniform"</formula>
    </cfRule>
    <cfRule type="expression" dxfId="103" priority="56">
      <formula>$F3="Triangular"</formula>
    </cfRule>
  </conditionalFormatting>
  <conditionalFormatting sqref="O3:O8">
    <cfRule type="expression" dxfId="102" priority="54">
      <formula>$F3="Normal"</formula>
    </cfRule>
  </conditionalFormatting>
  <conditionalFormatting sqref="M3:N8">
    <cfRule type="expression" dxfId="101" priority="52">
      <formula>$F3="Uniform"</formula>
    </cfRule>
    <cfRule type="expression" dxfId="100" priority="53">
      <formula>$F3="Triangular"</formula>
    </cfRule>
  </conditionalFormatting>
  <conditionalFormatting sqref="T3:T8">
    <cfRule type="expression" dxfId="99" priority="51">
      <formula>$F3="Normal"</formula>
    </cfRule>
  </conditionalFormatting>
  <conditionalFormatting sqref="R3:S8">
    <cfRule type="expression" dxfId="98" priority="49">
      <formula>$F3="Uniform"</formula>
    </cfRule>
    <cfRule type="expression" dxfId="97" priority="50">
      <formula>$F3="Triangular"</formula>
    </cfRule>
  </conditionalFormatting>
  <conditionalFormatting sqref="Y3:Y8">
    <cfRule type="expression" dxfId="96" priority="48">
      <formula>$F3="Normal"</formula>
    </cfRule>
  </conditionalFormatting>
  <conditionalFormatting sqref="W3:X8">
    <cfRule type="expression" dxfId="95" priority="46">
      <formula>$F3="Uniform"</formula>
    </cfRule>
    <cfRule type="expression" dxfId="94" priority="47">
      <formula>$F3="Triangular"</formula>
    </cfRule>
  </conditionalFormatting>
  <conditionalFormatting sqref="AD3:AD8">
    <cfRule type="expression" dxfId="93" priority="45">
      <formula>$F3="Normal"</formula>
    </cfRule>
  </conditionalFormatting>
  <conditionalFormatting sqref="AB3:AC8">
    <cfRule type="expression" dxfId="92" priority="43">
      <formula>$F3="Uniform"</formula>
    </cfRule>
    <cfRule type="expression" dxfId="91" priority="44">
      <formula>$F3="Triangular"</formula>
    </cfRule>
  </conditionalFormatting>
  <conditionalFormatting sqref="G3:G8">
    <cfRule type="expression" dxfId="90" priority="42">
      <formula>$F3="Poisson"</formula>
    </cfRule>
  </conditionalFormatting>
  <conditionalFormatting sqref="K3:K8">
    <cfRule type="expression" dxfId="89" priority="41">
      <formula>$F3="Poisson"</formula>
    </cfRule>
  </conditionalFormatting>
  <conditionalFormatting sqref="P3:P7">
    <cfRule type="expression" dxfId="88" priority="40">
      <formula>$F3="Poisson"</formula>
    </cfRule>
  </conditionalFormatting>
  <conditionalFormatting sqref="U3:U7">
    <cfRule type="expression" dxfId="87" priority="39">
      <formula>$F3="Poisson"</formula>
    </cfRule>
  </conditionalFormatting>
  <conditionalFormatting sqref="AE3:AE7">
    <cfRule type="expression" dxfId="86" priority="37">
      <formula>$F3="Poisson"</formula>
    </cfRule>
  </conditionalFormatting>
  <conditionalFormatting sqref="L3:L7">
    <cfRule type="expression" dxfId="85" priority="36">
      <formula>$F3="Point"</formula>
    </cfRule>
  </conditionalFormatting>
  <conditionalFormatting sqref="L3:L7">
    <cfRule type="expression" dxfId="84" priority="34">
      <formula>$F3="Triangular"</formula>
    </cfRule>
    <cfRule type="expression" dxfId="83" priority="35">
      <formula>$F3="Normal"</formula>
    </cfRule>
  </conditionalFormatting>
  <conditionalFormatting sqref="L3:L7">
    <cfRule type="expression" dxfId="82" priority="33">
      <formula>$F3="Poisson"</formula>
    </cfRule>
  </conditionalFormatting>
  <conditionalFormatting sqref="Q3:Q7">
    <cfRule type="expression" dxfId="81" priority="32">
      <formula>$F3="Point"</formula>
    </cfRule>
  </conditionalFormatting>
  <conditionalFormatting sqref="Q3:Q7">
    <cfRule type="expression" dxfId="80" priority="30">
      <formula>$F3="Triangular"</formula>
    </cfRule>
    <cfRule type="expression" dxfId="79" priority="31">
      <formula>$F3="Normal"</formula>
    </cfRule>
  </conditionalFormatting>
  <conditionalFormatting sqref="Q3:Q7">
    <cfRule type="expression" dxfId="78" priority="29">
      <formula>$F3="Poisson"</formula>
    </cfRule>
  </conditionalFormatting>
  <conditionalFormatting sqref="V3:V7">
    <cfRule type="expression" dxfId="77" priority="28">
      <formula>$F3="Point"</formula>
    </cfRule>
  </conditionalFormatting>
  <conditionalFormatting sqref="V3:V7">
    <cfRule type="expression" dxfId="76" priority="26">
      <formula>$F3="Triangular"</formula>
    </cfRule>
    <cfRule type="expression" dxfId="75" priority="27">
      <formula>$F3="Normal"</formula>
    </cfRule>
  </conditionalFormatting>
  <conditionalFormatting sqref="V3:V7">
    <cfRule type="expression" dxfId="74" priority="25">
      <formula>$F3="Poisson"</formula>
    </cfRule>
  </conditionalFormatting>
  <conditionalFormatting sqref="AA3:AA7">
    <cfRule type="expression" dxfId="73" priority="24">
      <formula>$F3="Point"</formula>
    </cfRule>
  </conditionalFormatting>
  <conditionalFormatting sqref="AA3:AA7">
    <cfRule type="expression" dxfId="72" priority="22">
      <formula>$F3="Triangular"</formula>
    </cfRule>
    <cfRule type="expression" dxfId="71" priority="23">
      <formula>$F3="Normal"</formula>
    </cfRule>
  </conditionalFormatting>
  <conditionalFormatting sqref="L8">
    <cfRule type="expression" dxfId="70" priority="20">
      <formula>$F8="Point"</formula>
    </cfRule>
  </conditionalFormatting>
  <conditionalFormatting sqref="L8">
    <cfRule type="expression" dxfId="69" priority="18">
      <formula>$F8="Triangular"</formula>
    </cfRule>
    <cfRule type="expression" dxfId="68" priority="19">
      <formula>$F8="Normal"</formula>
    </cfRule>
  </conditionalFormatting>
  <conditionalFormatting sqref="Q8">
    <cfRule type="expression" dxfId="67" priority="16">
      <formula>$F8="Point"</formula>
    </cfRule>
  </conditionalFormatting>
  <conditionalFormatting sqref="Q8">
    <cfRule type="expression" dxfId="66" priority="14">
      <formula>$F8="Triangular"</formula>
    </cfRule>
    <cfRule type="expression" dxfId="65" priority="15">
      <formula>$F8="Normal"</formula>
    </cfRule>
  </conditionalFormatting>
  <conditionalFormatting sqref="Q8">
    <cfRule type="expression" dxfId="64" priority="13">
      <formula>$F8="Poisson"</formula>
    </cfRule>
  </conditionalFormatting>
  <conditionalFormatting sqref="V8">
    <cfRule type="expression" dxfId="63" priority="12">
      <formula>$F8="Point"</formula>
    </cfRule>
  </conditionalFormatting>
  <conditionalFormatting sqref="V8">
    <cfRule type="expression" dxfId="62" priority="10">
      <formula>$F8="Triangular"</formula>
    </cfRule>
    <cfRule type="expression" dxfId="61" priority="11">
      <formula>$F8="Normal"</formula>
    </cfRule>
  </conditionalFormatting>
  <conditionalFormatting sqref="V8">
    <cfRule type="expression" dxfId="60" priority="9">
      <formula>$F8="Poisson"</formula>
    </cfRule>
  </conditionalFormatting>
  <conditionalFormatting sqref="AA8">
    <cfRule type="expression" dxfId="59" priority="8">
      <formula>$F8="Point"</formula>
    </cfRule>
  </conditionalFormatting>
  <conditionalFormatting sqref="AA8">
    <cfRule type="expression" dxfId="58" priority="6">
      <formula>$F8="Triangular"</formula>
    </cfRule>
    <cfRule type="expression" dxfId="57" priority="7">
      <formula>$F8="Normal"</formula>
    </cfRule>
  </conditionalFormatting>
  <conditionalFormatting sqref="AA8">
    <cfRule type="expression" dxfId="56" priority="5">
      <formula>$F8="Poisson"</formula>
    </cfRule>
  </conditionalFormatting>
  <conditionalFormatting sqref="P8">
    <cfRule type="expression" dxfId="55" priority="4">
      <formula>$F8="Poisson"</formula>
    </cfRule>
  </conditionalFormatting>
  <conditionalFormatting sqref="U8">
    <cfRule type="expression" dxfId="54" priority="3">
      <formula>$F8="Poisson"</formula>
    </cfRule>
  </conditionalFormatting>
  <conditionalFormatting sqref="Z8">
    <cfRule type="expression" dxfId="53" priority="2">
      <formula>$F8="Poisson"</formula>
    </cfRule>
  </conditionalFormatting>
  <conditionalFormatting sqref="AE8">
    <cfRule type="expression" dxfId="52" priority="1">
      <formula>$F8="Poisson"</formula>
    </cfRule>
  </conditionalFormatting>
  <dataValidations count="1">
    <dataValidation type="textLength" operator="lessThanOrEqual" allowBlank="1" showInputMessage="1" showErrorMessage="1" sqref="A5:A7">
      <formula1>50</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Inputs!$I$7:$I$11</xm:f>
          </x14:formula1>
          <xm:sqref>AG2:AG1048576</xm:sqref>
        </x14:dataValidation>
        <x14:dataValidation type="list" allowBlank="1" showInputMessage="1" showErrorMessage="1">
          <x14:formula1>
            <xm:f>Inputs!$J$7</xm:f>
          </x14:formula1>
          <xm:sqref>AI2:AI1048576</xm:sqref>
        </x14:dataValidation>
        <x14:dataValidation type="list" allowBlank="1" showInputMessage="1" showErrorMessage="1">
          <x14:formula1>
            <xm:f>Inputs!$K$7:$K$10</xm:f>
          </x14:formula1>
          <xm:sqref>AJ2:AJ1048576</xm:sqref>
        </x14:dataValidation>
        <x14:dataValidation type="list" allowBlank="1" showInputMessage="1" showErrorMessage="1">
          <x14:formula1>
            <xm:f>Inputs!$B$7:$B$12</xm:f>
          </x14:formula1>
          <xm:sqref>D2:D1048576</xm:sqref>
        </x14:dataValidation>
        <x14:dataValidation type="list" allowBlank="1" showInputMessage="1" showErrorMessage="1">
          <x14:formula1>
            <xm:f>Inputs!$H$7:$H$11</xm:f>
          </x14:formula1>
          <xm:sqref>F1:F1048576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9" tint="0.79998168889431442"/>
  </sheetPr>
  <dimension ref="A2:K12"/>
  <sheetViews>
    <sheetView showGridLines="0" workbookViewId="0">
      <selection activeCell="E22" sqref="E22"/>
    </sheetView>
  </sheetViews>
  <sheetFormatPr defaultRowHeight="14.4" x14ac:dyDescent="0.3"/>
  <cols>
    <col min="1" max="1" width="2.6640625" customWidth="1"/>
    <col min="2" max="2" width="14.21875" bestFit="1" customWidth="1"/>
    <col min="3" max="3" width="17.6640625" bestFit="1" customWidth="1"/>
    <col min="4" max="4" width="14" bestFit="1" customWidth="1"/>
    <col min="5" max="5" width="14.33203125" bestFit="1" customWidth="1"/>
    <col min="7" max="7" width="11.33203125" bestFit="1" customWidth="1"/>
    <col min="8" max="8" width="15.88671875" bestFit="1" customWidth="1"/>
    <col min="9" max="9" width="23.6640625" bestFit="1" customWidth="1"/>
    <col min="10" max="10" width="18.44140625" bestFit="1" customWidth="1"/>
    <col min="11" max="11" width="22.88671875" bestFit="1" customWidth="1"/>
  </cols>
  <sheetData>
    <row r="2" spans="1:11" x14ac:dyDescent="0.3">
      <c r="A2" s="21" t="s">
        <v>26</v>
      </c>
    </row>
    <row r="4" spans="1:11" x14ac:dyDescent="0.3">
      <c r="B4" s="126" t="s">
        <v>327</v>
      </c>
      <c r="C4" s="136">
        <v>1000</v>
      </c>
      <c r="H4" s="119" t="s">
        <v>433</v>
      </c>
    </row>
    <row r="6" spans="1:11" x14ac:dyDescent="0.3">
      <c r="B6" s="73" t="s">
        <v>12</v>
      </c>
      <c r="C6" s="74" t="s">
        <v>436</v>
      </c>
      <c r="D6" s="73" t="s">
        <v>434</v>
      </c>
      <c r="E6" s="74" t="s">
        <v>435</v>
      </c>
      <c r="H6" s="129" t="s">
        <v>310</v>
      </c>
      <c r="I6" s="129" t="s">
        <v>308</v>
      </c>
      <c r="J6" s="129" t="s">
        <v>309</v>
      </c>
      <c r="K6" s="129" t="s">
        <v>311</v>
      </c>
    </row>
    <row r="7" spans="1:11" x14ac:dyDescent="0.3">
      <c r="B7" s="19" t="s">
        <v>280</v>
      </c>
      <c r="C7" s="116">
        <f>AVERAGE(D7:E7)</f>
        <v>0.83333333333333326</v>
      </c>
      <c r="D7" s="120">
        <v>0.66666666666666663</v>
      </c>
      <c r="E7" s="121">
        <v>1</v>
      </c>
      <c r="H7" s="127" t="s">
        <v>277</v>
      </c>
      <c r="I7" s="128" t="s">
        <v>286</v>
      </c>
      <c r="J7" s="127" t="s">
        <v>301</v>
      </c>
      <c r="K7" s="126" t="s">
        <v>301</v>
      </c>
    </row>
    <row r="8" spans="1:11" x14ac:dyDescent="0.3">
      <c r="B8" s="19" t="s">
        <v>278</v>
      </c>
      <c r="C8" s="117">
        <f t="shared" ref="C8:C12" si="0">AVERAGE(D8:E8)</f>
        <v>0.66666666666666663</v>
      </c>
      <c r="D8" s="122">
        <v>0.5</v>
      </c>
      <c r="E8" s="123">
        <v>0.83333333333333326</v>
      </c>
      <c r="H8" s="127" t="s">
        <v>296</v>
      </c>
      <c r="I8" s="126" t="s">
        <v>293</v>
      </c>
      <c r="K8" s="126" t="s">
        <v>302</v>
      </c>
    </row>
    <row r="9" spans="1:11" x14ac:dyDescent="0.3">
      <c r="B9" s="19" t="s">
        <v>279</v>
      </c>
      <c r="C9" s="117">
        <f t="shared" si="0"/>
        <v>0.5</v>
      </c>
      <c r="D9" s="122">
        <v>0.33333333333333331</v>
      </c>
      <c r="E9" s="123">
        <v>0.66666666666666663</v>
      </c>
      <c r="H9" s="127" t="s">
        <v>297</v>
      </c>
      <c r="I9" s="126" t="s">
        <v>307</v>
      </c>
      <c r="K9" s="126" t="s">
        <v>226</v>
      </c>
    </row>
    <row r="10" spans="1:11" x14ac:dyDescent="0.3">
      <c r="B10" s="19" t="s">
        <v>281</v>
      </c>
      <c r="C10" s="117">
        <f t="shared" si="0"/>
        <v>0.33333333333333331</v>
      </c>
      <c r="D10" s="122">
        <v>0.16666666666666666</v>
      </c>
      <c r="E10" s="123">
        <v>0.5</v>
      </c>
      <c r="H10" s="127" t="s">
        <v>383</v>
      </c>
      <c r="I10" s="126" t="s">
        <v>312</v>
      </c>
      <c r="K10" s="126" t="s">
        <v>293</v>
      </c>
    </row>
    <row r="11" spans="1:11" x14ac:dyDescent="0.3">
      <c r="B11" s="19" t="s">
        <v>282</v>
      </c>
      <c r="C11" s="117">
        <f t="shared" si="0"/>
        <v>0.16666666666666666</v>
      </c>
      <c r="D11" s="122">
        <v>0</v>
      </c>
      <c r="E11" s="123">
        <v>0.33333333333333331</v>
      </c>
      <c r="H11" s="127" t="s">
        <v>384</v>
      </c>
      <c r="I11" s="126" t="s">
        <v>331</v>
      </c>
    </row>
    <row r="12" spans="1:11" x14ac:dyDescent="0.3">
      <c r="B12" s="20" t="s">
        <v>257</v>
      </c>
      <c r="C12" s="118">
        <f t="shared" si="0"/>
        <v>1.0009999999999999</v>
      </c>
      <c r="D12" s="124">
        <v>1.0009999999999999</v>
      </c>
      <c r="E12" s="125">
        <v>1.0009999999999999</v>
      </c>
    </row>
  </sheetData>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FFCC"/>
  </sheetPr>
  <dimension ref="A1:DL15"/>
  <sheetViews>
    <sheetView showGridLines="0" zoomScale="80" zoomScaleNormal="80" workbookViewId="0">
      <pane xSplit="3" ySplit="8" topLeftCell="D9" activePane="bottomRight" state="frozen"/>
      <selection activeCell="G23" sqref="G23"/>
      <selection pane="topRight" activeCell="G23" sqref="G23"/>
      <selection pane="bottomLeft" activeCell="G23" sqref="G23"/>
      <selection pane="bottomRight" activeCell="B9" sqref="B9:B15"/>
    </sheetView>
  </sheetViews>
  <sheetFormatPr defaultColWidth="9.109375" defaultRowHeight="13.8" outlineLevelCol="1" x14ac:dyDescent="0.25"/>
  <cols>
    <col min="1" max="1" width="6.6640625" style="7" customWidth="1"/>
    <col min="2" max="2" width="15.6640625" style="57" customWidth="1"/>
    <col min="3" max="3" width="40.6640625" style="57" customWidth="1"/>
    <col min="4" max="28" width="10.6640625" style="57" customWidth="1"/>
    <col min="29" max="35" width="15.88671875" style="59" customWidth="1"/>
    <col min="36" max="37" width="5.44140625" style="29" customWidth="1"/>
    <col min="38" max="49" width="9.109375" style="6" customWidth="1"/>
    <col min="50" max="55" width="9.109375" style="6"/>
    <col min="56" max="56" width="13.6640625" style="6" bestFit="1" customWidth="1"/>
    <col min="57" max="66" width="9.109375" style="6"/>
    <col min="67" max="96" width="9.109375" style="6" customWidth="1" outlineLevel="1"/>
    <col min="97" max="102" width="9.109375" style="6"/>
    <col min="103" max="103" width="9.88671875" style="6" bestFit="1" customWidth="1"/>
    <col min="104" max="104" width="9.109375" style="6" customWidth="1"/>
    <col min="105" max="16384" width="9.109375" style="6"/>
  </cols>
  <sheetData>
    <row r="1" spans="1:116" ht="14.4" x14ac:dyDescent="0.3">
      <c r="B1" s="58"/>
      <c r="C1" s="58"/>
      <c r="AJ1" s="105" t="s">
        <v>27</v>
      </c>
      <c r="AK1" s="18"/>
      <c r="AQ1" s="18"/>
      <c r="AW1" s="18"/>
      <c r="BC1" s="18"/>
      <c r="BJ1" s="64"/>
      <c r="BK1" s="63"/>
      <c r="BO1" s="34"/>
      <c r="BP1"/>
      <c r="BQ1" s="63"/>
      <c r="BU1" s="34"/>
      <c r="BV1"/>
      <c r="BW1" s="63"/>
      <c r="CA1" s="34"/>
      <c r="CB1"/>
      <c r="CC1" s="106"/>
      <c r="CD1" s="107"/>
      <c r="CG1" s="34"/>
      <c r="CH1"/>
      <c r="CI1" s="106"/>
      <c r="CJ1" s="107"/>
      <c r="CM1" s="34"/>
      <c r="CN1"/>
      <c r="CO1" s="106"/>
      <c r="CP1" s="107"/>
      <c r="CS1" s="34"/>
      <c r="CT1" t="s">
        <v>277</v>
      </c>
      <c r="CU1" s="63" t="s">
        <v>384</v>
      </c>
      <c r="CY1" s="91"/>
      <c r="CZ1" s="64"/>
      <c r="DA1" s="63"/>
    </row>
    <row r="2" spans="1:116" ht="14.4" x14ac:dyDescent="0.3">
      <c r="B2" s="61"/>
      <c r="C2" s="58"/>
      <c r="AJ2" s="28" t="s">
        <v>183</v>
      </c>
      <c r="AK2" s="28"/>
      <c r="AQ2" s="28"/>
      <c r="AW2" s="28"/>
      <c r="BC2" s="28"/>
      <c r="BJ2" s="64"/>
      <c r="BK2" s="63"/>
      <c r="BO2" s="34"/>
      <c r="BP2"/>
      <c r="BQ2" s="63"/>
      <c r="BU2" s="34"/>
      <c r="BV2"/>
      <c r="BW2" s="63"/>
      <c r="CA2" s="34"/>
      <c r="CB2"/>
      <c r="CC2" s="63"/>
      <c r="CD2" s="107"/>
      <c r="CG2" s="34"/>
      <c r="CH2"/>
      <c r="CI2" s="63"/>
      <c r="CJ2" s="107"/>
      <c r="CM2" s="34"/>
      <c r="CN2"/>
      <c r="CO2" s="63"/>
      <c r="CP2" s="107"/>
      <c r="CS2" s="34"/>
      <c r="CT2" t="s">
        <v>296</v>
      </c>
      <c r="CU2" s="63"/>
      <c r="CY2" s="91"/>
      <c r="CZ2" s="64"/>
      <c r="DA2" s="63"/>
      <c r="DE2" s="22"/>
    </row>
    <row r="3" spans="1:116" ht="14.4" x14ac:dyDescent="0.3">
      <c r="B3" s="58"/>
      <c r="C3" s="58"/>
      <c r="AD3" s="75"/>
      <c r="AE3" s="75"/>
      <c r="AG3" s="75"/>
      <c r="AK3" s="66"/>
      <c r="AQ3" s="66"/>
      <c r="AW3" s="66"/>
      <c r="BC3" s="66"/>
      <c r="BD3" s="103"/>
      <c r="BI3" s="63"/>
      <c r="BJ3" s="64"/>
      <c r="BK3" s="63"/>
      <c r="BO3" s="34"/>
      <c r="BP3"/>
      <c r="BQ3" s="63"/>
      <c r="BU3" s="34"/>
      <c r="BV3"/>
      <c r="BW3" s="63"/>
      <c r="CA3" s="34"/>
      <c r="CB3"/>
      <c r="CC3" s="63"/>
      <c r="CG3" s="34"/>
      <c r="CH3"/>
      <c r="CI3" s="63"/>
      <c r="CM3" s="34"/>
      <c r="CN3"/>
      <c r="CO3" s="63"/>
      <c r="CS3" s="34"/>
      <c r="CT3" t="s">
        <v>297</v>
      </c>
      <c r="CU3" s="63"/>
      <c r="CY3" s="91"/>
      <c r="CZ3" s="64"/>
      <c r="DA3" s="63"/>
      <c r="DE3" s="22"/>
    </row>
    <row r="4" spans="1:116" ht="14.4" x14ac:dyDescent="0.3">
      <c r="B4" s="58"/>
      <c r="C4" s="58"/>
      <c r="AK4" s="6"/>
      <c r="AL4" s="62"/>
      <c r="AM4" s="62"/>
      <c r="AN4" s="62"/>
      <c r="AO4" s="62"/>
      <c r="AP4" s="62"/>
      <c r="AR4" s="62"/>
      <c r="AS4" s="62"/>
      <c r="AT4" s="62"/>
      <c r="AU4" s="62"/>
      <c r="AV4" s="62"/>
      <c r="AX4" s="62"/>
      <c r="AY4" s="62"/>
      <c r="AZ4" s="62"/>
      <c r="BA4" s="62"/>
      <c r="BB4" s="62"/>
      <c r="BD4" s="62"/>
      <c r="BE4" s="62"/>
      <c r="BF4" s="62"/>
      <c r="BG4" s="62"/>
      <c r="BH4" s="62"/>
      <c r="BI4" s="63"/>
      <c r="BJ4" s="64"/>
      <c r="BK4" s="63"/>
      <c r="BO4" s="34"/>
      <c r="BP4" s="64"/>
      <c r="BQ4" s="63"/>
      <c r="BU4" s="34"/>
      <c r="BV4" s="64"/>
      <c r="BW4" s="63"/>
      <c r="CA4" s="34"/>
      <c r="CB4" s="64"/>
      <c r="CC4" s="63"/>
      <c r="CG4" s="34"/>
      <c r="CH4" s="64"/>
      <c r="CI4" s="63"/>
      <c r="CM4" s="34"/>
      <c r="CN4" s="64"/>
      <c r="CO4" s="63"/>
      <c r="CS4" s="34"/>
      <c r="CT4" s="64" t="s">
        <v>383</v>
      </c>
      <c r="CU4" s="63"/>
      <c r="CY4" s="91"/>
      <c r="CZ4" s="64"/>
      <c r="DA4" s="63"/>
      <c r="DE4" s="22"/>
    </row>
    <row r="5" spans="1:116" ht="14.4" x14ac:dyDescent="0.3">
      <c r="B5" s="58"/>
      <c r="C5" s="58"/>
      <c r="AK5" s="6"/>
      <c r="AW5" s="27"/>
      <c r="BC5" s="27"/>
      <c r="BI5" s="63"/>
      <c r="BJ5" s="64"/>
      <c r="BK5" s="63"/>
      <c r="BO5" s="91"/>
      <c r="BP5" s="64"/>
      <c r="BQ5" s="63"/>
      <c r="BU5" s="91"/>
      <c r="BV5" s="64"/>
      <c r="BW5" s="63"/>
      <c r="CA5" s="91"/>
      <c r="CB5" s="64"/>
      <c r="CC5" s="63"/>
      <c r="CG5" s="91"/>
      <c r="CH5" s="64"/>
      <c r="CI5" s="63"/>
      <c r="CM5" s="91"/>
      <c r="CN5" s="64"/>
      <c r="CO5" s="63"/>
      <c r="CS5" s="91"/>
      <c r="CT5" s="64"/>
      <c r="CU5" s="63"/>
      <c r="CY5" s="91"/>
      <c r="CZ5" s="64"/>
      <c r="DA5" s="63"/>
      <c r="DE5" s="22"/>
    </row>
    <row r="6" spans="1:116" ht="14.4" x14ac:dyDescent="0.3">
      <c r="B6" s="58"/>
      <c r="C6" s="58"/>
      <c r="AK6" s="27" t="s">
        <v>373</v>
      </c>
      <c r="AW6" s="65"/>
      <c r="BC6" s="65"/>
      <c r="BI6" s="63"/>
      <c r="BJ6" s="27" t="s">
        <v>377</v>
      </c>
      <c r="BK6" s="63"/>
      <c r="BO6" s="91"/>
      <c r="BP6" s="27" t="s">
        <v>378</v>
      </c>
      <c r="BQ6" s="89"/>
      <c r="BR6" s="90"/>
      <c r="BS6" s="90"/>
      <c r="BT6" s="90"/>
      <c r="BU6" s="91"/>
      <c r="BV6" s="89"/>
      <c r="BW6" s="89"/>
      <c r="BX6" s="90"/>
      <c r="BY6" s="90"/>
      <c r="BZ6" s="90"/>
      <c r="CA6" s="91"/>
      <c r="CB6" s="27" t="s">
        <v>380</v>
      </c>
      <c r="CC6" s="89"/>
      <c r="CD6" s="90"/>
      <c r="CE6" s="90"/>
      <c r="CF6" s="90"/>
      <c r="CG6" s="91"/>
      <c r="CI6" s="89"/>
      <c r="CJ6" s="90"/>
      <c r="CK6" s="90"/>
      <c r="CL6" s="90"/>
      <c r="CM6" s="91"/>
      <c r="CN6" s="27" t="s">
        <v>400</v>
      </c>
      <c r="CO6" s="89"/>
      <c r="CP6" s="90"/>
      <c r="CQ6" s="90"/>
      <c r="CR6" s="90"/>
      <c r="CS6" s="91"/>
      <c r="CT6" s="89"/>
      <c r="CU6" s="89"/>
      <c r="CV6" s="90"/>
      <c r="CW6" s="90"/>
      <c r="CX6" s="90"/>
      <c r="CY6" s="27" t="s">
        <v>382</v>
      </c>
      <c r="CZ6" s="63"/>
      <c r="DA6" s="63"/>
    </row>
    <row r="7" spans="1:116" ht="14.4" x14ac:dyDescent="0.3">
      <c r="D7" s="101" t="s">
        <v>288</v>
      </c>
      <c r="E7" s="108"/>
      <c r="F7" s="108"/>
      <c r="G7" s="137"/>
      <c r="H7" s="137"/>
      <c r="I7" s="102" t="s">
        <v>289</v>
      </c>
      <c r="J7" s="108"/>
      <c r="K7" s="108"/>
      <c r="L7" s="137"/>
      <c r="M7" s="137"/>
      <c r="N7" s="102" t="s">
        <v>290</v>
      </c>
      <c r="O7" s="108"/>
      <c r="P7" s="108"/>
      <c r="Q7" s="137"/>
      <c r="R7" s="137"/>
      <c r="S7" s="102" t="s">
        <v>291</v>
      </c>
      <c r="T7" s="108"/>
      <c r="U7" s="108"/>
      <c r="V7" s="137"/>
      <c r="W7" s="137"/>
      <c r="X7" s="102" t="s">
        <v>292</v>
      </c>
      <c r="Y7" s="108"/>
      <c r="Z7" s="108"/>
      <c r="AA7" s="137"/>
      <c r="AB7" s="137"/>
      <c r="AL7" s="27" t="s">
        <v>276</v>
      </c>
      <c r="AM7" s="27"/>
      <c r="AN7" s="27"/>
      <c r="AO7" s="27"/>
      <c r="AP7" s="27"/>
      <c r="AQ7" s="27"/>
      <c r="AR7" s="27" t="s">
        <v>374</v>
      </c>
      <c r="AS7" s="27"/>
      <c r="AT7" s="27"/>
      <c r="AU7" s="27"/>
      <c r="AV7" s="27"/>
      <c r="AW7" s="27"/>
      <c r="AX7" s="65" t="s">
        <v>375</v>
      </c>
      <c r="AY7" s="27"/>
      <c r="AZ7" s="27"/>
      <c r="BA7" s="27"/>
      <c r="BB7" s="27"/>
      <c r="BC7" s="27"/>
      <c r="BD7" s="65" t="s">
        <v>376</v>
      </c>
      <c r="BE7" s="27"/>
      <c r="BF7" s="27"/>
      <c r="BG7" s="27"/>
      <c r="BH7" s="27"/>
      <c r="BI7" s="27"/>
      <c r="BK7" s="27"/>
      <c r="BL7" s="27"/>
      <c r="BM7" s="27"/>
      <c r="BN7" s="27"/>
      <c r="BO7" s="27"/>
      <c r="BQ7" s="27"/>
      <c r="BR7" s="27"/>
      <c r="BS7" s="27"/>
      <c r="BT7" s="27"/>
      <c r="BU7" s="27"/>
      <c r="BV7" s="27" t="s">
        <v>379</v>
      </c>
      <c r="BW7" s="27"/>
      <c r="BX7" s="27"/>
      <c r="BY7" s="27"/>
      <c r="BZ7" s="27"/>
      <c r="CA7" s="27"/>
      <c r="CC7" s="27"/>
      <c r="CD7" s="27"/>
      <c r="CE7" s="27"/>
      <c r="CF7" s="27"/>
      <c r="CG7" s="27"/>
      <c r="CH7" s="27" t="s">
        <v>391</v>
      </c>
      <c r="CI7" s="27"/>
      <c r="CJ7" s="27"/>
      <c r="CK7" s="27"/>
      <c r="CL7" s="27"/>
      <c r="CM7" s="27"/>
      <c r="CO7" s="27"/>
      <c r="CP7" s="27"/>
      <c r="CQ7" s="27"/>
      <c r="CR7" s="27"/>
      <c r="CS7" s="27"/>
      <c r="CT7" s="27" t="s">
        <v>381</v>
      </c>
      <c r="CU7" s="27"/>
      <c r="CV7" s="27"/>
      <c r="CW7" s="27"/>
      <c r="CX7" s="27"/>
      <c r="CY7" s="27"/>
      <c r="CZ7" s="65" t="s">
        <v>232</v>
      </c>
      <c r="DA7" s="27"/>
      <c r="DB7" s="27"/>
      <c r="DC7" s="27"/>
      <c r="DD7" s="27"/>
      <c r="DE7" s="27"/>
      <c r="DF7" s="27" t="s">
        <v>356</v>
      </c>
      <c r="DH7" s="27"/>
      <c r="DI7" s="23"/>
      <c r="DJ7" s="23"/>
      <c r="DK7" s="23"/>
      <c r="DL7" s="23"/>
    </row>
    <row r="8" spans="1:116" s="55" customFormat="1" ht="41.4" x14ac:dyDescent="0.3">
      <c r="A8" s="54"/>
      <c r="B8" s="87" t="s">
        <v>314</v>
      </c>
      <c r="C8" s="87" t="s">
        <v>283</v>
      </c>
      <c r="D8" s="87" t="s">
        <v>333</v>
      </c>
      <c r="E8" s="87" t="s">
        <v>334</v>
      </c>
      <c r="F8" s="87" t="s">
        <v>335</v>
      </c>
      <c r="G8" s="87" t="s">
        <v>385</v>
      </c>
      <c r="H8" s="87" t="s">
        <v>394</v>
      </c>
      <c r="I8" s="87" t="s">
        <v>336</v>
      </c>
      <c r="J8" s="87" t="s">
        <v>337</v>
      </c>
      <c r="K8" s="87" t="s">
        <v>338</v>
      </c>
      <c r="L8" s="87" t="s">
        <v>387</v>
      </c>
      <c r="M8" s="87" t="s">
        <v>395</v>
      </c>
      <c r="N8" s="87" t="s">
        <v>339</v>
      </c>
      <c r="O8" s="87" t="s">
        <v>340</v>
      </c>
      <c r="P8" s="87" t="s">
        <v>341</v>
      </c>
      <c r="Q8" s="87" t="s">
        <v>388</v>
      </c>
      <c r="R8" s="87" t="s">
        <v>396</v>
      </c>
      <c r="S8" s="87" t="s">
        <v>342</v>
      </c>
      <c r="T8" s="87" t="s">
        <v>343</v>
      </c>
      <c r="U8" s="87" t="s">
        <v>344</v>
      </c>
      <c r="V8" s="87" t="s">
        <v>389</v>
      </c>
      <c r="W8" s="87" t="s">
        <v>397</v>
      </c>
      <c r="X8" s="87" t="s">
        <v>345</v>
      </c>
      <c r="Y8" s="87" t="s">
        <v>346</v>
      </c>
      <c r="Z8" s="87" t="s">
        <v>347</v>
      </c>
      <c r="AA8" s="87" t="s">
        <v>390</v>
      </c>
      <c r="AB8" s="87" t="s">
        <v>398</v>
      </c>
      <c r="AC8" s="60" t="s">
        <v>295</v>
      </c>
      <c r="AD8" s="60" t="s">
        <v>284</v>
      </c>
      <c r="AE8" s="60" t="s">
        <v>306</v>
      </c>
      <c r="AF8" s="60" t="s">
        <v>365</v>
      </c>
      <c r="AG8" s="60" t="s">
        <v>287</v>
      </c>
      <c r="AH8" s="60" t="s">
        <v>366</v>
      </c>
      <c r="AI8" s="60" t="s">
        <v>294</v>
      </c>
      <c r="AJ8" s="88"/>
      <c r="AK8" s="88"/>
      <c r="AL8" s="130" t="s">
        <v>348</v>
      </c>
      <c r="AM8" s="130" t="s">
        <v>349</v>
      </c>
      <c r="AN8" s="130" t="s">
        <v>350</v>
      </c>
      <c r="AO8" s="130" t="s">
        <v>351</v>
      </c>
      <c r="AP8" s="130" t="s">
        <v>352</v>
      </c>
      <c r="AQ8" s="56"/>
      <c r="AR8" s="130" t="str">
        <f>AL8</f>
        <v>Year+0</v>
      </c>
      <c r="AS8" s="130" t="str">
        <f>AM8</f>
        <v>Year+1</v>
      </c>
      <c r="AT8" s="130" t="str">
        <f>AN8</f>
        <v>Year+2</v>
      </c>
      <c r="AU8" s="130" t="str">
        <f>AO8</f>
        <v>Year+3</v>
      </c>
      <c r="AV8" s="130" t="str">
        <f>AP8</f>
        <v>Year+4</v>
      </c>
      <c r="AW8" s="56"/>
      <c r="AX8" s="130" t="str">
        <f>AR8</f>
        <v>Year+0</v>
      </c>
      <c r="AY8" s="130" t="str">
        <f>AS8</f>
        <v>Year+1</v>
      </c>
      <c r="AZ8" s="130" t="str">
        <f>AT8</f>
        <v>Year+2</v>
      </c>
      <c r="BA8" s="130" t="str">
        <f>AU8</f>
        <v>Year+3</v>
      </c>
      <c r="BB8" s="130" t="str">
        <f>AV8</f>
        <v>Year+4</v>
      </c>
      <c r="BC8" s="56"/>
      <c r="BD8" s="130" t="str">
        <f>AX8</f>
        <v>Year+0</v>
      </c>
      <c r="BE8" s="130" t="str">
        <f>AY8</f>
        <v>Year+1</v>
      </c>
      <c r="BF8" s="130" t="str">
        <f>AZ8</f>
        <v>Year+2</v>
      </c>
      <c r="BG8" s="130" t="str">
        <f>BA8</f>
        <v>Year+3</v>
      </c>
      <c r="BH8" s="130" t="str">
        <f>BB8</f>
        <v>Year+4</v>
      </c>
      <c r="BI8" s="56"/>
      <c r="BJ8" s="130" t="str">
        <f>BD8</f>
        <v>Year+0</v>
      </c>
      <c r="BK8" s="130" t="str">
        <f>BE8</f>
        <v>Year+1</v>
      </c>
      <c r="BL8" s="130" t="str">
        <f>BF8</f>
        <v>Year+2</v>
      </c>
      <c r="BM8" s="130" t="str">
        <f>BG8</f>
        <v>Year+3</v>
      </c>
      <c r="BN8" s="130" t="str">
        <f>BH8</f>
        <v>Year+4</v>
      </c>
      <c r="BO8" s="56"/>
      <c r="BP8" s="130" t="str">
        <f>BJ8</f>
        <v>Year+0</v>
      </c>
      <c r="BQ8" s="130" t="str">
        <f>BK8</f>
        <v>Year+1</v>
      </c>
      <c r="BR8" s="130" t="str">
        <f>BL8</f>
        <v>Year+2</v>
      </c>
      <c r="BS8" s="130" t="str">
        <f>BM8</f>
        <v>Year+3</v>
      </c>
      <c r="BT8" s="130" t="str">
        <f>BN8</f>
        <v>Year+4</v>
      </c>
      <c r="BU8" s="56"/>
      <c r="BV8" s="130" t="str">
        <f>BP8</f>
        <v>Year+0</v>
      </c>
      <c r="BW8" s="130" t="str">
        <f>BQ8</f>
        <v>Year+1</v>
      </c>
      <c r="BX8" s="130" t="str">
        <f>BR8</f>
        <v>Year+2</v>
      </c>
      <c r="BY8" s="130" t="str">
        <f>BS8</f>
        <v>Year+3</v>
      </c>
      <c r="BZ8" s="130" t="str">
        <f>BT8</f>
        <v>Year+4</v>
      </c>
      <c r="CA8" s="56"/>
      <c r="CB8" s="130" t="str">
        <f>BV8</f>
        <v>Year+0</v>
      </c>
      <c r="CC8" s="130" t="str">
        <f t="shared" ref="CC8" si="0">BW8</f>
        <v>Year+1</v>
      </c>
      <c r="CD8" s="130" t="str">
        <f t="shared" ref="CD8" si="1">BX8</f>
        <v>Year+2</v>
      </c>
      <c r="CE8" s="130" t="str">
        <f t="shared" ref="CE8" si="2">BY8</f>
        <v>Year+3</v>
      </c>
      <c r="CF8" s="130" t="str">
        <f t="shared" ref="CF8" si="3">BZ8</f>
        <v>Year+4</v>
      </c>
      <c r="CG8" s="56"/>
      <c r="CH8" s="130" t="str">
        <f>CB8</f>
        <v>Year+0</v>
      </c>
      <c r="CI8" s="130" t="str">
        <f t="shared" ref="CI8" si="4">CC8</f>
        <v>Year+1</v>
      </c>
      <c r="CJ8" s="130" t="str">
        <f t="shared" ref="CJ8" si="5">CD8</f>
        <v>Year+2</v>
      </c>
      <c r="CK8" s="130" t="str">
        <f t="shared" ref="CK8" si="6">CE8</f>
        <v>Year+3</v>
      </c>
      <c r="CL8" s="130" t="str">
        <f t="shared" ref="CL8" si="7">CF8</f>
        <v>Year+4</v>
      </c>
      <c r="CM8" s="56"/>
      <c r="CN8" s="130" t="str">
        <f>CH8</f>
        <v>Year+0</v>
      </c>
      <c r="CO8" s="130" t="str">
        <f t="shared" ref="CO8" si="8">CI8</f>
        <v>Year+1</v>
      </c>
      <c r="CP8" s="130" t="str">
        <f t="shared" ref="CP8" si="9">CJ8</f>
        <v>Year+2</v>
      </c>
      <c r="CQ8" s="130" t="str">
        <f t="shared" ref="CQ8" si="10">CK8</f>
        <v>Year+3</v>
      </c>
      <c r="CR8" s="130" t="str">
        <f t="shared" ref="CR8" si="11">CL8</f>
        <v>Year+4</v>
      </c>
      <c r="CS8" s="56"/>
      <c r="CT8" s="130" t="s">
        <v>348</v>
      </c>
      <c r="CU8" s="130" t="s">
        <v>349</v>
      </c>
      <c r="CV8" s="130" t="s">
        <v>350</v>
      </c>
      <c r="CW8" s="130" t="s">
        <v>351</v>
      </c>
      <c r="CX8" s="130" t="s">
        <v>352</v>
      </c>
      <c r="CY8" s="56"/>
      <c r="CZ8" s="130" t="s">
        <v>348</v>
      </c>
      <c r="DA8" s="130" t="s">
        <v>349</v>
      </c>
      <c r="DB8" s="130" t="s">
        <v>350</v>
      </c>
      <c r="DC8" s="130" t="s">
        <v>351</v>
      </c>
      <c r="DD8" s="130" t="s">
        <v>352</v>
      </c>
      <c r="DE8" s="56"/>
      <c r="DF8" s="56"/>
      <c r="DG8" s="130" t="str">
        <f>CZ8</f>
        <v>Year+0</v>
      </c>
      <c r="DH8" s="130" t="str">
        <f t="shared" ref="DH8:DK8" si="12">DA8</f>
        <v>Year+1</v>
      </c>
      <c r="DI8" s="130" t="str">
        <f t="shared" si="12"/>
        <v>Year+2</v>
      </c>
      <c r="DJ8" s="130" t="str">
        <f t="shared" si="12"/>
        <v>Year+3</v>
      </c>
      <c r="DK8" s="130" t="str">
        <f t="shared" si="12"/>
        <v>Year+4</v>
      </c>
      <c r="DL8" s="56"/>
    </row>
    <row r="9" spans="1:116" x14ac:dyDescent="0.25">
      <c r="B9" s="86" t="s">
        <v>315</v>
      </c>
      <c r="C9" s="86" t="str">
        <f>INDEX(Register!$1:$1048576,MATCH(Calculations!$B9,Register!$A:$A,0),MATCH(Calculations!C$8,Register!$1:$1,0))</f>
        <v>Demand Uncertainty</v>
      </c>
      <c r="D9" s="85">
        <f>IF(LEN(INDEX(Register!$1:$1048576,MATCH(Calculations!$B9,Register!$A:$A,0),MATCH(Calculations!D$8,Register!$1:$1,0)))=0,"",INDEX(Register!$1:$1048576,MATCH(Calculations!$B9,Register!$A:$A,0),MATCH(Calculations!D$8,Register!$1:$1,0)))</f>
        <v>0</v>
      </c>
      <c r="E9" s="85" t="str">
        <f>IF(LEN(INDEX(Register!$1:$1048576,MATCH(Calculations!$B9,Register!$A:$A,0),MATCH(Calculations!E$8,Register!$1:$1,0)))=0,"",INDEX(Register!$1:$1048576,MATCH(Calculations!$B9,Register!$A:$A,0),MATCH(Calculations!E$8,Register!$1:$1,0)))</f>
        <v/>
      </c>
      <c r="F9" s="85" t="str">
        <f>IF(LEN(INDEX(Register!$1:$1048576,MATCH(Calculations!$B9,Register!$A:$A,0),MATCH(Calculations!F$8,Register!$1:$1,0)))=0,"",INDEX(Register!$1:$1048576,MATCH(Calculations!$B9,Register!$A:$A,0),MATCH(Calculations!F$8,Register!$1:$1,0)))</f>
        <v/>
      </c>
      <c r="G9" s="85">
        <f>IF(LEN(INDEX(Register!$1:$1048576,MATCH(Calculations!$B9,Register!$A:$A,0),MATCH(Calculations!G$8,Register!$1:$1,0)))=0,"",INDEX(Register!$1:$1048576,MATCH(Calculations!$B9,Register!$A:$A,0),MATCH(Calculations!G$8,Register!$1:$1,0)))</f>
        <v>2</v>
      </c>
      <c r="H9" s="85" t="str">
        <f>IF(LEN(INDEX(Register!$1:$1048576,MATCH(Calculations!$B9,Register!$A:$A,0),MATCH(Calculations!H$8,Register!$1:$1,0)))=0,"",INDEX(Register!$1:$1048576,MATCH(Calculations!$B9,Register!$A:$A,0),MATCH(Calculations!H$8,Register!$1:$1,0)))</f>
        <v/>
      </c>
      <c r="I9" s="85">
        <f>IF(LEN(INDEX(Register!$1:$1048576,MATCH(Calculations!$B9,Register!$A:$A,0),MATCH(Calculations!I$8,Register!$1:$1,0)))=0,"",INDEX(Register!$1:$1048576,MATCH(Calculations!$B9,Register!$A:$A,0),MATCH(Calculations!I$8,Register!$1:$1,0)))</f>
        <v>0</v>
      </c>
      <c r="J9" s="85" t="str">
        <f>IF(LEN(INDEX(Register!$1:$1048576,MATCH(Calculations!$B9,Register!$A:$A,0),MATCH(Calculations!J$8,Register!$1:$1,0)))=0,"",INDEX(Register!$1:$1048576,MATCH(Calculations!$B9,Register!$A:$A,0),MATCH(Calculations!J$8,Register!$1:$1,0)))</f>
        <v/>
      </c>
      <c r="K9" s="85" t="str">
        <f>IF(LEN(INDEX(Register!$1:$1048576,MATCH(Calculations!$B9,Register!$A:$A,0),MATCH(Calculations!K$8,Register!$1:$1,0)))=0,"",INDEX(Register!$1:$1048576,MATCH(Calculations!$B9,Register!$A:$A,0),MATCH(Calculations!K$8,Register!$1:$1,0)))</f>
        <v/>
      </c>
      <c r="L9" s="85">
        <f>IF(LEN(INDEX(Register!$1:$1048576,MATCH(Calculations!$B9,Register!$A:$A,0),MATCH(Calculations!L$8,Register!$1:$1,0)))=0,"",INDEX(Register!$1:$1048576,MATCH(Calculations!$B9,Register!$A:$A,0),MATCH(Calculations!L$8,Register!$1:$1,0)))</f>
        <v>4</v>
      </c>
      <c r="M9" s="85" t="str">
        <f>IF(LEN(INDEX(Register!$1:$1048576,MATCH(Calculations!$B9,Register!$A:$A,0),MATCH(Calculations!M$8,Register!$1:$1,0)))=0,"",INDEX(Register!$1:$1048576,MATCH(Calculations!$B9,Register!$A:$A,0),MATCH(Calculations!M$8,Register!$1:$1,0)))</f>
        <v/>
      </c>
      <c r="N9" s="85">
        <f>IF(LEN(INDEX(Register!$1:$1048576,MATCH(Calculations!$B9,Register!$A:$A,0),MATCH(Calculations!N$8,Register!$1:$1,0)))=0,"",INDEX(Register!$1:$1048576,MATCH(Calculations!$B9,Register!$A:$A,0),MATCH(Calculations!N$8,Register!$1:$1,0)))</f>
        <v>0</v>
      </c>
      <c r="O9" s="85" t="str">
        <f>IF(LEN(INDEX(Register!$1:$1048576,MATCH(Calculations!$B9,Register!$A:$A,0),MATCH(Calculations!O$8,Register!$1:$1,0)))=0,"",INDEX(Register!$1:$1048576,MATCH(Calculations!$B9,Register!$A:$A,0),MATCH(Calculations!O$8,Register!$1:$1,0)))</f>
        <v/>
      </c>
      <c r="P9" s="85" t="str">
        <f>IF(LEN(INDEX(Register!$1:$1048576,MATCH(Calculations!$B9,Register!$A:$A,0),MATCH(Calculations!P$8,Register!$1:$1,0)))=0,"",INDEX(Register!$1:$1048576,MATCH(Calculations!$B9,Register!$A:$A,0),MATCH(Calculations!P$8,Register!$1:$1,0)))</f>
        <v/>
      </c>
      <c r="Q9" s="85">
        <f>IF(LEN(INDEX(Register!$1:$1048576,MATCH(Calculations!$B9,Register!$A:$A,0),MATCH(Calculations!Q$8,Register!$1:$1,0)))=0,"",INDEX(Register!$1:$1048576,MATCH(Calculations!$B9,Register!$A:$A,0),MATCH(Calculations!Q$8,Register!$1:$1,0)))</f>
        <v>6</v>
      </c>
      <c r="R9" s="85" t="str">
        <f>IF(LEN(INDEX(Register!$1:$1048576,MATCH(Calculations!$B9,Register!$A:$A,0),MATCH(Calculations!R$8,Register!$1:$1,0)))=0,"",INDEX(Register!$1:$1048576,MATCH(Calculations!$B9,Register!$A:$A,0),MATCH(Calculations!R$8,Register!$1:$1,0)))</f>
        <v/>
      </c>
      <c r="S9" s="85">
        <f>IF(LEN(INDEX(Register!$1:$1048576,MATCH(Calculations!$B9,Register!$A:$A,0),MATCH(Calculations!S$8,Register!$1:$1,0)))=0,"",INDEX(Register!$1:$1048576,MATCH(Calculations!$B9,Register!$A:$A,0),MATCH(Calculations!S$8,Register!$1:$1,0)))</f>
        <v>0</v>
      </c>
      <c r="T9" s="85" t="str">
        <f>IF(LEN(INDEX(Register!$1:$1048576,MATCH(Calculations!$B9,Register!$A:$A,0),MATCH(Calculations!T$8,Register!$1:$1,0)))=0,"",INDEX(Register!$1:$1048576,MATCH(Calculations!$B9,Register!$A:$A,0),MATCH(Calculations!T$8,Register!$1:$1,0)))</f>
        <v/>
      </c>
      <c r="U9" s="85" t="str">
        <f>IF(LEN(INDEX(Register!$1:$1048576,MATCH(Calculations!$B9,Register!$A:$A,0),MATCH(Calculations!U$8,Register!$1:$1,0)))=0,"",INDEX(Register!$1:$1048576,MATCH(Calculations!$B9,Register!$A:$A,0),MATCH(Calculations!U$8,Register!$1:$1,0)))</f>
        <v/>
      </c>
      <c r="V9" s="85">
        <f>IF(LEN(INDEX(Register!$1:$1048576,MATCH(Calculations!$B9,Register!$A:$A,0),MATCH(Calculations!V$8,Register!$1:$1,0)))=0,"",INDEX(Register!$1:$1048576,MATCH(Calculations!$B9,Register!$A:$A,0),MATCH(Calculations!V$8,Register!$1:$1,0)))</f>
        <v>8</v>
      </c>
      <c r="W9" s="85" t="str">
        <f>IF(LEN(INDEX(Register!$1:$1048576,MATCH(Calculations!$B9,Register!$A:$A,0),MATCH(Calculations!W$8,Register!$1:$1,0)))=0,"",INDEX(Register!$1:$1048576,MATCH(Calculations!$B9,Register!$A:$A,0),MATCH(Calculations!W$8,Register!$1:$1,0)))</f>
        <v/>
      </c>
      <c r="X9" s="85">
        <f>IF(LEN(INDEX(Register!$1:$1048576,MATCH(Calculations!$B9,Register!$A:$A,0),MATCH(Calculations!X$8,Register!$1:$1,0)))=0,"",INDEX(Register!$1:$1048576,MATCH(Calculations!$B9,Register!$A:$A,0),MATCH(Calculations!X$8,Register!$1:$1,0)))</f>
        <v>0</v>
      </c>
      <c r="Y9" s="85" t="str">
        <f>IF(LEN(INDEX(Register!$1:$1048576,MATCH(Calculations!$B9,Register!$A:$A,0),MATCH(Calculations!Y$8,Register!$1:$1,0)))=0,"",INDEX(Register!$1:$1048576,MATCH(Calculations!$B9,Register!$A:$A,0),MATCH(Calculations!Y$8,Register!$1:$1,0)))</f>
        <v/>
      </c>
      <c r="Z9" s="85" t="str">
        <f>IF(LEN(INDEX(Register!$1:$1048576,MATCH(Calculations!$B9,Register!$A:$A,0),MATCH(Calculations!Z$8,Register!$1:$1,0)))=0,"",INDEX(Register!$1:$1048576,MATCH(Calculations!$B9,Register!$A:$A,0),MATCH(Calculations!Z$8,Register!$1:$1,0)))</f>
        <v/>
      </c>
      <c r="AA9" s="85">
        <f>IF(LEN(INDEX(Register!$1:$1048576,MATCH(Calculations!$B9,Register!$A:$A,0),MATCH(Calculations!AA$8,Register!$1:$1,0)))=0,"",INDEX(Register!$1:$1048576,MATCH(Calculations!$B9,Register!$A:$A,0),MATCH(Calculations!AA$8,Register!$1:$1,0)))</f>
        <v>10</v>
      </c>
      <c r="AB9" s="85" t="str">
        <f>IF(LEN(INDEX(Register!$1:$1048576,MATCH(Calculations!$B9,Register!$A:$A,0),MATCH(Calculations!AB$8,Register!$1:$1,0)))=0,"",INDEX(Register!$1:$1048576,MATCH(Calculations!$B9,Register!$A:$A,0),MATCH(Calculations!AB$8,Register!$1:$1,0)))</f>
        <v/>
      </c>
      <c r="AC9" s="86" t="str">
        <f>INDEX(Register!$1:$1048576,MATCH(Calculations!$B9,Register!$A:$A,0),MATCH(Calculations!AC$8,Register!$1:$1,0))</f>
        <v>Normal</v>
      </c>
      <c r="AD9" s="86" t="str">
        <f>INDEX(Register!$1:$1048576,MATCH(Calculations!$B9,Register!$A:$A,0),MATCH(Calculations!AD$8,Register!$1:$1,0))</f>
        <v>Definite</v>
      </c>
      <c r="AE9" s="86">
        <f>INDEX(Register!$1:$1048576,MATCH(Calculations!$B9,Register!$A:$A,0),MATCH(Calculations!AE$8,Register!$1:$1,0))</f>
        <v>0</v>
      </c>
      <c r="AF9" s="86">
        <f>INDEX(Register!$1:$1048576,MATCH(Calculations!$B9,Register!$A:$A,0),MATCH(Calculations!AF$8,Register!$1:$1,0))</f>
        <v>0</v>
      </c>
      <c r="AG9" s="86">
        <f>INDEX(Register!$1:$1048576,MATCH(Calculations!$B9,Register!$A:$A,0),MATCH(Calculations!AG$8,Register!$1:$1,0))</f>
        <v>0</v>
      </c>
      <c r="AH9" s="86">
        <f>INDEX(Register!$1:$1048576,MATCH(Calculations!$B9,Register!$A:$A,0),MATCH(Calculations!AH$8,Register!$1:$1,0))</f>
        <v>0</v>
      </c>
      <c r="AI9" s="86">
        <f>INDEX(Register!$1:$1048576,MATCH(Calculations!$B9,Register!$A:$A,0),MATCH(Calculations!AI$8,Register!$1:$1,0))</f>
        <v>0</v>
      </c>
      <c r="AL9" s="113">
        <f ca="1">INDEX(Inputs!$D$6:$D$12,MATCH(Calculations!$AD9,Inputs!$B$6:$B$12,0))+RAND()*(INDEX(Inputs!$E$6:$E$12,MATCH(Calculations!$AD9,Inputs!$B$6:$B$12,0))-INDEX(Inputs!$D$6:$D$12,MATCH(Calculations!$AD9,Inputs!$B$6:$B$12,0)))</f>
        <v>1.0009999999999999</v>
      </c>
      <c r="AM9" s="113">
        <f ca="1">INDEX(Inputs!$D$6:$D$12,MATCH(Calculations!$AD9,Inputs!$B$6:$B$12,0))+RAND()*(INDEX(Inputs!$E$6:$E$12,MATCH(Calculations!$AD9,Inputs!$B$6:$B$12,0))-INDEX(Inputs!$D$6:$D$12,MATCH(Calculations!$AD9,Inputs!$B$6:$B$12,0)))</f>
        <v>1.0009999999999999</v>
      </c>
      <c r="AN9" s="113">
        <f ca="1">INDEX(Inputs!$D$6:$D$12,MATCH(Calculations!$AD9,Inputs!$B$6:$B$12,0))+RAND()*(INDEX(Inputs!$E$6:$E$12,MATCH(Calculations!$AD9,Inputs!$B$6:$B$12,0))-INDEX(Inputs!$D$6:$D$12,MATCH(Calculations!$AD9,Inputs!$B$6:$B$12,0)))</f>
        <v>1.0009999999999999</v>
      </c>
      <c r="AO9" s="113">
        <f ca="1">INDEX(Inputs!$D$6:$D$12,MATCH(Calculations!$AD9,Inputs!$B$6:$B$12,0))+RAND()*(INDEX(Inputs!$E$6:$E$12,MATCH(Calculations!$AD9,Inputs!$B$6:$B$12,0))-INDEX(Inputs!$D$6:$D$12,MATCH(Calculations!$AD9,Inputs!$B$6:$B$12,0)))</f>
        <v>1.0009999999999999</v>
      </c>
      <c r="AP9" s="113">
        <f ca="1">INDEX(Inputs!$D$6:$D$12,MATCH(Calculations!$AD9,Inputs!$B$6:$B$12,0))+RAND()*(INDEX(Inputs!$E$6:$E$12,MATCH(Calculations!$AD9,Inputs!$B$6:$B$12,0))-INDEX(Inputs!$D$6:$D$12,MATCH(Calculations!$AD9,Inputs!$B$6:$B$12,0)))</f>
        <v>1.0009999999999999</v>
      </c>
      <c r="AQ9" s="24"/>
      <c r="AR9" s="113">
        <f ca="1">IF(RAND()&lt;AL9,1,0)</f>
        <v>1</v>
      </c>
      <c r="AS9" s="113">
        <f ca="1">IF(RAND()&lt;AM9,1,0)</f>
        <v>1</v>
      </c>
      <c r="AT9" s="113">
        <f ca="1">IF(RAND()&lt;AN9,1,0)</f>
        <v>1</v>
      </c>
      <c r="AU9" s="113">
        <f ca="1">IF(RAND()&lt;AO9,1,0)</f>
        <v>1</v>
      </c>
      <c r="AV9" s="113">
        <f ca="1">IF(RAND()&lt;AP9,1,0)</f>
        <v>1</v>
      </c>
      <c r="AW9" s="24"/>
      <c r="AX9" s="114">
        <f ca="1">AR9</f>
        <v>1</v>
      </c>
      <c r="AY9" s="114">
        <f ca="1">IF(OR($AI9="Matches",$AI9="Same Proportion"),AX9,IF(AND($AI9="Stops after non-occurrence",AX9=0),0,AS9))</f>
        <v>1</v>
      </c>
      <c r="AZ9" s="114">
        <f ca="1">IF(OR($AI9="Matches",$AI9="Same Proportion"),AY9,IF(AND($AI9="Stops after non-occurrence",AY9=0),0,AT9))</f>
        <v>1</v>
      </c>
      <c r="BA9" s="114">
        <f ca="1">IF(OR($AI9="Matches",$AI9="Same Proportion"),AZ9,IF(AND($AI9="Stops after non-occurrence",AZ9=0),0,AU9))</f>
        <v>1</v>
      </c>
      <c r="BB9" s="114">
        <f ca="1">IF(OR($AI9="Matches",$AI9="Same Proportion"),BA9,IF(AND($AI9="Stops after non-occurrence",BA9=0),0,AV9))</f>
        <v>1</v>
      </c>
      <c r="BC9" s="24"/>
      <c r="BD9" s="114">
        <f ca="1">IF($AF9="Necessary",AX9*INDEX(AX:AX,MATCH($AE9,$B:$B,0)),IF($AF9="Exclusive",1-INDEX(AX:AX,MATCH($AE9,$B:$B,0)),IF($AF9="Matches",INDEX(AX:AX,MATCH($AE9,$B:$B,0)),IF($AF9="Prevented by",MAX(AX9-INDEX(AX:AX,MATCH($AE9,$B:$B,0)),0),IF($AF9="Sufficient",IF(INDEX(AX:AX,MATCH($AE9,$B:$B,0))=1,1,AX9),AX9)))))</f>
        <v>1</v>
      </c>
      <c r="BE9" s="114">
        <f ca="1">IF($AF9="Necessary",AY9*INDEX(AY:AY,MATCH($AE9,$B:$B,0)),IF($AF9="Exclusive",1-INDEX(AY:AY,MATCH($AE9,$B:$B,0)),IF($AF9="Matches",INDEX(AY:AY,MATCH($AE9,$B:$B,0)),IF($AF9="Prevented by",MAX(AY9-INDEX(AY:AY,MATCH($AE9,$B:$B,0)),0),IF($AF9="Sufficient",IF(INDEX(AY:AY,MATCH($AE9,$B:$B,0))=1,1,AY9),AY9)))))</f>
        <v>1</v>
      </c>
      <c r="BF9" s="114">
        <f ca="1">IF($AF9="Necessary",AZ9*INDEX(AZ:AZ,MATCH($AE9,$B:$B,0)),IF($AF9="Exclusive",1-INDEX(AZ:AZ,MATCH($AE9,$B:$B,0)),IF($AF9="Matches",INDEX(AZ:AZ,MATCH($AE9,$B:$B,0)),IF($AF9="Prevented by",MAX(AZ9-INDEX(AZ:AZ,MATCH($AE9,$B:$B,0)),0),IF($AF9="Sufficient",IF(INDEX(AZ:AZ,MATCH($AE9,$B:$B,0))=1,1,AZ9),AZ9)))))</f>
        <v>1</v>
      </c>
      <c r="BG9" s="114">
        <f ca="1">IF($AF9="Necessary",BA9*INDEX(BA:BA,MATCH($AE9,$B:$B,0)),IF($AF9="Exclusive",1-INDEX(BA:BA,MATCH($AE9,$B:$B,0)),IF($AF9="Matches",INDEX(BA:BA,MATCH($AE9,$B:$B,0)),IF($AF9="Prevented by",MAX(BA9-INDEX(BA:BA,MATCH($AE9,$B:$B,0)),0),IF($AF9="Sufficient",IF(INDEX(BA:BA,MATCH($AE9,$B:$B,0))=1,1,BA9),BA9)))))</f>
        <v>1</v>
      </c>
      <c r="BH9" s="114">
        <f ca="1">IF($AF9="Necessary",BB9*INDEX(BB:BB,MATCH($AE9,$B:$B,0)),IF($AF9="Exclusive",1-INDEX(BB:BB,MATCH($AE9,$B:$B,0)),IF($AF9="Matches",INDEX(BB:BB,MATCH($AE9,$B:$B,0)),IF($AF9="Prevented by",MAX(BB9-INDEX(BB:BB,MATCH($AE9,$B:$B,0)),0),IF($AF9="Sufficient",IF(INDEX(BB:BB,MATCH($AE9,$B:$B,0))=1,1,BB9),BB9)))))</f>
        <v>1</v>
      </c>
      <c r="BI9" s="24"/>
      <c r="BJ9" s="113">
        <f ca="1">IF($AH9="Same Proportion",INDEX(BJ:BJ,MATCH($AG9,$B:$B,0)),RAND())</f>
        <v>0.58276500451144941</v>
      </c>
      <c r="BK9" s="113">
        <f ca="1">IF($AH9="Same Proportion",INDEX(BK:BK,MATCH($AG9,$B:$B,0)),IF($AI9="Same Proportion",BJ9,RAND()))</f>
        <v>0.13668045554334585</v>
      </c>
      <c r="BL9" s="113">
        <f ca="1">IF($AH9="Same Proportion",INDEX(BL:BL,MATCH($AG9,$B:$B,0)),IF($AI9="Same Proportion",BK9,RAND()))</f>
        <v>0.88637036516872203</v>
      </c>
      <c r="BM9" s="113">
        <f ca="1">IF($AH9="Same Proportion",INDEX(BM:BM,MATCH($AG9,$B:$B,0)),IF($AI9="Same Proportion",BL9,RAND()))</f>
        <v>0.52395612028173322</v>
      </c>
      <c r="BN9" s="113">
        <f ca="1">IF($AH9="Same Proportion",INDEX(BN:BN,MATCH($AG9,$B:$B,0)),IF($AI9="Same Proportion",BM9,RAND()))</f>
        <v>9.3469044508513455E-2</v>
      </c>
      <c r="BO9" s="25"/>
      <c r="BP9" s="114">
        <f>IF(LEN(D9)=0,0,D9)</f>
        <v>0</v>
      </c>
      <c r="BQ9" s="114">
        <f>IF(LEN(I9)=0,0,I9)</f>
        <v>0</v>
      </c>
      <c r="BR9" s="114">
        <f>IF(LEN(N9)=0,0,N9)</f>
        <v>0</v>
      </c>
      <c r="BS9" s="114">
        <f>IF(LEN(S9)=0,0,S9)</f>
        <v>0</v>
      </c>
      <c r="BT9" s="114">
        <f>IF(LEN(X9)=0,0,X9)</f>
        <v>0</v>
      </c>
      <c r="BU9" s="25"/>
      <c r="BV9" s="114">
        <f>IF(OR(LEN(E9)=0,LEN(F9)=0),0,E9+(F9-E9)*BJ9)</f>
        <v>0</v>
      </c>
      <c r="BW9" s="114">
        <f>IF(OR(LEN(J9)=0,LEN(K9)=0),0,IF(AND(AI9="Cumulative",BV9&lt;K9),BV9+(K9-BV9)*BK9,J9+(K9-J9)*BK9))</f>
        <v>0</v>
      </c>
      <c r="BX9" s="114">
        <f>IF(OR(LEN(O9)=0,LEN(P9)=0),0,IF(AND(BW9&lt;P9,AI9="Cumulative"),BW9+(P9-BW9)*BL9,O9+(P9-O9)*BL9))</f>
        <v>0</v>
      </c>
      <c r="BY9" s="114">
        <f>IF(OR(LEN(T9)=0,LEN(U9)=0),0,IF(AND(BX9&lt;U9,AI9="Cumulative"),BX9+(U9-BX9)*BM9,T9+(U9-T9)*BM9))</f>
        <v>0</v>
      </c>
      <c r="BZ9" s="114">
        <f>IF(OR(LEN(Y9)=0,LEN(Z9)=0),0,IF(AND(BY9&lt;Y9,AI9="Cumulative"),BY9+(Z9-BY9)*BN9,Y9+(Z9-Y9)*BN9))</f>
        <v>0</v>
      </c>
      <c r="CA9" s="25"/>
      <c r="CB9" s="114">
        <f>IF(OR(LEN(D9)=0,LEN(E9)=0,LEN(F9)=0),0,IF(BJ9&lt;(D9-E9)/(F9-E9),E9+SQRT((F9-E9)*(D9-E9)*BJ9),F9-SQRT((F9-E9)*(F9-D9)*(1-BJ9))))</f>
        <v>0</v>
      </c>
      <c r="CC9" s="114">
        <f>IF(OR(LEN(I9)=0,LEN(J9)=0,LEN(K9)=0),0,IF(BK9&lt;(I9-J9)/(K9-J9),J9+SQRT((K9-J9)*(I9-J9)*BK9),K9-SQRT((K9-J9)*(K9-I9)*(1-BK9))))</f>
        <v>0</v>
      </c>
      <c r="CD9" s="114">
        <f>IF(OR(LEN(N9)=0,LEN(O9)=0,LEN(P9)=0),0,IF(BL9&lt;(N9-O9)/(P9-O9),O9+SQRT((P9-O9)*(N9-O9)*BL9),P9-SQRT((P9-O9)*(P9-N9)*(1-BL9))))</f>
        <v>0</v>
      </c>
      <c r="CE9" s="114">
        <f>IF(OR(LEN(S9)=0,LEN(T9)=0,LEN(U9)=0),0,IF(BM9&lt;(S9-T9)/(U9-T9),T9+SQRT((U9-T9)*(S9-T9)*BM9),U9-SQRT((U9-T9)*(U9-S9)*(1-BM9))))</f>
        <v>0</v>
      </c>
      <c r="CF9" s="114">
        <f>IF(OR(LEN(X9)=0,LEN(Y9)=0,LEN(Z9)=0),0,IF(BN9&lt;(X9-Y9)/(Z9-Y9),Y9+SQRT((Z9-Y9)*(X9-Y9)*BN9),Z9-SQRT((Z9-Y9)*(Z9-X9)*(1-BN9))))</f>
        <v>0</v>
      </c>
      <c r="CG9" s="25"/>
      <c r="CH9" s="114">
        <f ca="1">IF(OR(LEN(D9)=0,LEN(G9)=0),0,_xlfn.NORM.INV(BJ9,D9,G9))</f>
        <v>0.41794427112593419</v>
      </c>
      <c r="CI9" s="114">
        <f ca="1">IF(OR(LEN(I9)=0,LEN(L9)=0),0,_xlfn.NORM.INV(BK9,I9,L9))</f>
        <v>-4.3814220958969932</v>
      </c>
      <c r="CJ9" s="114">
        <f ca="1">IF(OR(LEN(N9)=0,LEN(Q9)=0),0,_xlfn.NORM.INV(BL9,N9,Q9))</f>
        <v>7.2446940774877842</v>
      </c>
      <c r="CK9" s="114">
        <f ca="1">IF(OR(LEN(S9)=0,LEN(V9)=0),0,_xlfn.NORM.INV(BM9,S9,V9))</f>
        <v>0.4806817799767702</v>
      </c>
      <c r="CL9" s="114">
        <f ca="1">IF(OR(LEN(X9)=0,LEN(AA9)=0),0,_xlfn.NORM.INV(BN9,X9,AA9))</f>
        <v>-13.196913505965657</v>
      </c>
      <c r="CM9" s="25"/>
      <c r="CN9" s="114">
        <f>IF(OR(LEN(D9)=0,LEN(H9)=0),0,_xlfn.BINOM.INV(10000,D9/10000,BJ9)*H9)</f>
        <v>0</v>
      </c>
      <c r="CO9" s="114">
        <f>IF(OR(LEN(I9)=0,LEN(M9)=0),0,_xlfn.BINOM.INV(10000,I9/10000,BK9)*M9)</f>
        <v>0</v>
      </c>
      <c r="CP9" s="114">
        <f>IF(OR(LEN(N9)=0,LEN(R9)=0),0,_xlfn.BINOM.INV(10000,N9/10000,BL9)*R9)</f>
        <v>0</v>
      </c>
      <c r="CQ9" s="114">
        <f>IF(OR(LEN(S9)=0,LEN(W9)=0),0,_xlfn.BINOM.INV(10000,S9/10000,BM9)*W9)</f>
        <v>0</v>
      </c>
      <c r="CR9" s="114">
        <f>IF(OR(LEN(X9)=0,LEN(AB9)=0),0,_xlfn.BINOM.INV(10000,X9/10000,BN9)*AB9)</f>
        <v>0</v>
      </c>
      <c r="CS9" s="25"/>
      <c r="CT9" s="114">
        <f ca="1">_xlfn.IFS($AC9=$CT$1,BV9,$AC9=$CT$2,CB9,$AC9=$CT$3,BP9,$AC9=$CT$4,CH9,$AC9=$CU$1,CN9,TRUE,"Error")</f>
        <v>0.41794427112593419</v>
      </c>
      <c r="CU9" s="114">
        <f t="shared" ref="CU9" ca="1" si="13">_xlfn.IFS($AC9=$CT$1,BW9,$AC9=$CT$2,CC9,$AC9=$CT$3,BQ9,$AC9=$CT$4,CI9,$AC9=$CU$1,CO9,TRUE,"Error")</f>
        <v>-4.3814220958969932</v>
      </c>
      <c r="CV9" s="114">
        <f t="shared" ref="CV9" ca="1" si="14">_xlfn.IFS($AC9=$CT$1,BX9,$AC9=$CT$2,CD9,$AC9=$CT$3,BR9,$AC9=$CT$4,CJ9,$AC9=$CU$1,CP9,TRUE,"Error")</f>
        <v>7.2446940774877842</v>
      </c>
      <c r="CW9" s="114">
        <f t="shared" ref="CW9" ca="1" si="15">_xlfn.IFS($AC9=$CT$1,BY9,$AC9=$CT$2,CE9,$AC9=$CT$3,BS9,$AC9=$CT$4,CK9,$AC9=$CU$1,CQ9,TRUE,"Error")</f>
        <v>0.4806817799767702</v>
      </c>
      <c r="CX9" s="114">
        <f t="shared" ref="CX9" ca="1" si="16">_xlfn.IFS($AC9=$CT$1,BZ9,$AC9=$CT$2,CF9,$AC9=$CT$3,BT9,$AC9=$CT$4,CL9,$AC9=$CU$1,CR9,TRUE,"Error")</f>
        <v>-13.196913505965657</v>
      </c>
      <c r="CY9" s="24"/>
      <c r="CZ9" s="114">
        <f ca="1">IFERROR(CT9*BD9,0)</f>
        <v>0.41794427112593419</v>
      </c>
      <c r="DA9" s="114">
        <f ca="1">IFERROR(CU9*BE9,0)</f>
        <v>-4.3814220958969932</v>
      </c>
      <c r="DB9" s="114">
        <f ca="1">IFERROR(CV9*BF9,0)</f>
        <v>7.2446940774877842</v>
      </c>
      <c r="DC9" s="114">
        <f ca="1">IFERROR(CW9*BG9,0)</f>
        <v>0.4806817799767702</v>
      </c>
      <c r="DD9" s="114">
        <f ca="1">IFERROR(CX9*BH9,0)</f>
        <v>-13.196913505965657</v>
      </c>
      <c r="DE9" s="25"/>
      <c r="DF9" s="115" t="s">
        <v>353</v>
      </c>
      <c r="DG9" s="114">
        <f ca="1">SUM(CZ:CZ)</f>
        <v>0.73089334322582644</v>
      </c>
      <c r="DH9" s="114">
        <f ca="1">SUM(DA:DA)</f>
        <v>-1.8998671750974037</v>
      </c>
      <c r="DI9" s="114">
        <f ca="1">SUM(DB:DB)</f>
        <v>7.201037135463463</v>
      </c>
      <c r="DJ9" s="114">
        <f ca="1">SUM(DC:DC)</f>
        <v>3.3287192850906449</v>
      </c>
      <c r="DK9" s="114">
        <f ca="1">SUM(DD:DD)</f>
        <v>-12.715976024264066</v>
      </c>
      <c r="DL9" s="26"/>
    </row>
    <row r="10" spans="1:116" x14ac:dyDescent="0.25">
      <c r="B10" s="86" t="s">
        <v>317</v>
      </c>
      <c r="C10" s="86" t="str">
        <f>INDEX(Register!$1:$1048576,MATCH(Calculations!$B10,Register!$A:$A,0),MATCH(Calculations!C$8,Register!$1:$1,0))</f>
        <v>Policy Option 1</v>
      </c>
      <c r="D10" s="85" t="str">
        <f>IF(LEN(INDEX(Register!$1:$1048576,MATCH(Calculations!$B10,Register!$A:$A,0),MATCH(Calculations!D$8,Register!$1:$1,0)))=0,"",INDEX(Register!$1:$1048576,MATCH(Calculations!$B10,Register!$A:$A,0),MATCH(Calculations!D$8,Register!$1:$1,0)))</f>
        <v/>
      </c>
      <c r="E10" s="85">
        <f>IF(LEN(INDEX(Register!$1:$1048576,MATCH(Calculations!$B10,Register!$A:$A,0),MATCH(Calculations!E$8,Register!$1:$1,0)))=0,"",INDEX(Register!$1:$1048576,MATCH(Calculations!$B10,Register!$A:$A,0),MATCH(Calculations!E$8,Register!$1:$1,0)))</f>
        <v>0</v>
      </c>
      <c r="F10" s="85">
        <f>IF(LEN(INDEX(Register!$1:$1048576,MATCH(Calculations!$B10,Register!$A:$A,0),MATCH(Calculations!F$8,Register!$1:$1,0)))=0,"",INDEX(Register!$1:$1048576,MATCH(Calculations!$B10,Register!$A:$A,0),MATCH(Calculations!F$8,Register!$1:$1,0)))</f>
        <v>5</v>
      </c>
      <c r="G10" s="85" t="str">
        <f>IF(LEN(INDEX(Register!$1:$1048576,MATCH(Calculations!$B10,Register!$A:$A,0),MATCH(Calculations!G$8,Register!$1:$1,0)))=0,"",INDEX(Register!$1:$1048576,MATCH(Calculations!$B10,Register!$A:$A,0),MATCH(Calculations!G$8,Register!$1:$1,0)))</f>
        <v/>
      </c>
      <c r="H10" s="85" t="str">
        <f>IF(LEN(INDEX(Register!$1:$1048576,MATCH(Calculations!$B10,Register!$A:$A,0),MATCH(Calculations!H$8,Register!$1:$1,0)))=0,"",INDEX(Register!$1:$1048576,MATCH(Calculations!$B10,Register!$A:$A,0),MATCH(Calculations!H$8,Register!$1:$1,0)))</f>
        <v/>
      </c>
      <c r="I10" s="85" t="str">
        <f>IF(LEN(INDEX(Register!$1:$1048576,MATCH(Calculations!$B10,Register!$A:$A,0),MATCH(Calculations!I$8,Register!$1:$1,0)))=0,"",INDEX(Register!$1:$1048576,MATCH(Calculations!$B10,Register!$A:$A,0),MATCH(Calculations!I$8,Register!$1:$1,0)))</f>
        <v/>
      </c>
      <c r="J10" s="85">
        <f>IF(LEN(INDEX(Register!$1:$1048576,MATCH(Calculations!$B10,Register!$A:$A,0),MATCH(Calculations!J$8,Register!$1:$1,0)))=0,"",INDEX(Register!$1:$1048576,MATCH(Calculations!$B10,Register!$A:$A,0),MATCH(Calculations!J$8,Register!$1:$1,0)))</f>
        <v>0</v>
      </c>
      <c r="K10" s="85">
        <f>IF(LEN(INDEX(Register!$1:$1048576,MATCH(Calculations!$B10,Register!$A:$A,0),MATCH(Calculations!K$8,Register!$1:$1,0)))=0,"",INDEX(Register!$1:$1048576,MATCH(Calculations!$B10,Register!$A:$A,0),MATCH(Calculations!K$8,Register!$1:$1,0)))</f>
        <v>5</v>
      </c>
      <c r="L10" s="85" t="str">
        <f>IF(LEN(INDEX(Register!$1:$1048576,MATCH(Calculations!$B10,Register!$A:$A,0),MATCH(Calculations!L$8,Register!$1:$1,0)))=0,"",INDEX(Register!$1:$1048576,MATCH(Calculations!$B10,Register!$A:$A,0),MATCH(Calculations!L$8,Register!$1:$1,0)))</f>
        <v/>
      </c>
      <c r="M10" s="85" t="str">
        <f>IF(LEN(INDEX(Register!$1:$1048576,MATCH(Calculations!$B10,Register!$A:$A,0),MATCH(Calculations!M$8,Register!$1:$1,0)))=0,"",INDEX(Register!$1:$1048576,MATCH(Calculations!$B10,Register!$A:$A,0),MATCH(Calculations!M$8,Register!$1:$1,0)))</f>
        <v/>
      </c>
      <c r="N10" s="85" t="str">
        <f>IF(LEN(INDEX(Register!$1:$1048576,MATCH(Calculations!$B10,Register!$A:$A,0),MATCH(Calculations!N$8,Register!$1:$1,0)))=0,"",INDEX(Register!$1:$1048576,MATCH(Calculations!$B10,Register!$A:$A,0),MATCH(Calculations!N$8,Register!$1:$1,0)))</f>
        <v/>
      </c>
      <c r="O10" s="85">
        <f>IF(LEN(INDEX(Register!$1:$1048576,MATCH(Calculations!$B10,Register!$A:$A,0),MATCH(Calculations!O$8,Register!$1:$1,0)))=0,"",INDEX(Register!$1:$1048576,MATCH(Calculations!$B10,Register!$A:$A,0),MATCH(Calculations!O$8,Register!$1:$1,0)))</f>
        <v>0</v>
      </c>
      <c r="P10" s="85">
        <f>IF(LEN(INDEX(Register!$1:$1048576,MATCH(Calculations!$B10,Register!$A:$A,0),MATCH(Calculations!P$8,Register!$1:$1,0)))=0,"",INDEX(Register!$1:$1048576,MATCH(Calculations!$B10,Register!$A:$A,0),MATCH(Calculations!P$8,Register!$1:$1,0)))</f>
        <v>5</v>
      </c>
      <c r="Q10" s="85" t="str">
        <f>IF(LEN(INDEX(Register!$1:$1048576,MATCH(Calculations!$B10,Register!$A:$A,0),MATCH(Calculations!Q$8,Register!$1:$1,0)))=0,"",INDEX(Register!$1:$1048576,MATCH(Calculations!$B10,Register!$A:$A,0),MATCH(Calculations!Q$8,Register!$1:$1,0)))</f>
        <v/>
      </c>
      <c r="R10" s="85" t="str">
        <f>IF(LEN(INDEX(Register!$1:$1048576,MATCH(Calculations!$B10,Register!$A:$A,0),MATCH(Calculations!R$8,Register!$1:$1,0)))=0,"",INDEX(Register!$1:$1048576,MATCH(Calculations!$B10,Register!$A:$A,0),MATCH(Calculations!R$8,Register!$1:$1,0)))</f>
        <v/>
      </c>
      <c r="S10" s="85" t="str">
        <f>IF(LEN(INDEX(Register!$1:$1048576,MATCH(Calculations!$B10,Register!$A:$A,0),MATCH(Calculations!S$8,Register!$1:$1,0)))=0,"",INDEX(Register!$1:$1048576,MATCH(Calculations!$B10,Register!$A:$A,0),MATCH(Calculations!S$8,Register!$1:$1,0)))</f>
        <v/>
      </c>
      <c r="T10" s="85">
        <f>IF(LEN(INDEX(Register!$1:$1048576,MATCH(Calculations!$B10,Register!$A:$A,0),MATCH(Calculations!T$8,Register!$1:$1,0)))=0,"",INDEX(Register!$1:$1048576,MATCH(Calculations!$B10,Register!$A:$A,0),MATCH(Calculations!T$8,Register!$1:$1,0)))</f>
        <v>0</v>
      </c>
      <c r="U10" s="85">
        <f>IF(LEN(INDEX(Register!$1:$1048576,MATCH(Calculations!$B10,Register!$A:$A,0),MATCH(Calculations!U$8,Register!$1:$1,0)))=0,"",INDEX(Register!$1:$1048576,MATCH(Calculations!$B10,Register!$A:$A,0),MATCH(Calculations!U$8,Register!$1:$1,0)))</f>
        <v>5</v>
      </c>
      <c r="V10" s="85" t="str">
        <f>IF(LEN(INDEX(Register!$1:$1048576,MATCH(Calculations!$B10,Register!$A:$A,0),MATCH(Calculations!V$8,Register!$1:$1,0)))=0,"",INDEX(Register!$1:$1048576,MATCH(Calculations!$B10,Register!$A:$A,0),MATCH(Calculations!V$8,Register!$1:$1,0)))</f>
        <v/>
      </c>
      <c r="W10" s="85" t="str">
        <f>IF(LEN(INDEX(Register!$1:$1048576,MATCH(Calculations!$B10,Register!$A:$A,0),MATCH(Calculations!W$8,Register!$1:$1,0)))=0,"",INDEX(Register!$1:$1048576,MATCH(Calculations!$B10,Register!$A:$A,0),MATCH(Calculations!W$8,Register!$1:$1,0)))</f>
        <v/>
      </c>
      <c r="X10" s="85" t="str">
        <f>IF(LEN(INDEX(Register!$1:$1048576,MATCH(Calculations!$B10,Register!$A:$A,0),MATCH(Calculations!X$8,Register!$1:$1,0)))=0,"",INDEX(Register!$1:$1048576,MATCH(Calculations!$B10,Register!$A:$A,0),MATCH(Calculations!X$8,Register!$1:$1,0)))</f>
        <v/>
      </c>
      <c r="Y10" s="85">
        <f>IF(LEN(INDEX(Register!$1:$1048576,MATCH(Calculations!$B10,Register!$A:$A,0),MATCH(Calculations!Y$8,Register!$1:$1,0)))=0,"",INDEX(Register!$1:$1048576,MATCH(Calculations!$B10,Register!$A:$A,0),MATCH(Calculations!Y$8,Register!$1:$1,0)))</f>
        <v>0</v>
      </c>
      <c r="Z10" s="85">
        <f>IF(LEN(INDEX(Register!$1:$1048576,MATCH(Calculations!$B10,Register!$A:$A,0),MATCH(Calculations!Z$8,Register!$1:$1,0)))=0,"",INDEX(Register!$1:$1048576,MATCH(Calculations!$B10,Register!$A:$A,0),MATCH(Calculations!Z$8,Register!$1:$1,0)))</f>
        <v>5</v>
      </c>
      <c r="AA10" s="85" t="str">
        <f>IF(LEN(INDEX(Register!$1:$1048576,MATCH(Calculations!$B10,Register!$A:$A,0),MATCH(Calculations!AA$8,Register!$1:$1,0)))=0,"",INDEX(Register!$1:$1048576,MATCH(Calculations!$B10,Register!$A:$A,0),MATCH(Calculations!AA$8,Register!$1:$1,0)))</f>
        <v/>
      </c>
      <c r="AB10" s="85" t="str">
        <f>IF(LEN(INDEX(Register!$1:$1048576,MATCH(Calculations!$B10,Register!$A:$A,0),MATCH(Calculations!AB$8,Register!$1:$1,0)))=0,"",INDEX(Register!$1:$1048576,MATCH(Calculations!$B10,Register!$A:$A,0),MATCH(Calculations!AB$8,Register!$1:$1,0)))</f>
        <v/>
      </c>
      <c r="AC10" s="86" t="str">
        <f>INDEX(Register!$1:$1048576,MATCH(Calculations!$B10,Register!$A:$A,0),MATCH(Calculations!AC$8,Register!$1:$1,0))</f>
        <v>Uniform</v>
      </c>
      <c r="AD10" s="86" t="str">
        <f>INDEX(Register!$1:$1048576,MATCH(Calculations!$B10,Register!$A:$A,0),MATCH(Calculations!AD$8,Register!$1:$1,0))</f>
        <v>3 - Medium</v>
      </c>
      <c r="AE10" s="86">
        <f>INDEX(Register!$1:$1048576,MATCH(Calculations!$B10,Register!$A:$A,0),MATCH(Calculations!AE$8,Register!$1:$1,0))</f>
        <v>0</v>
      </c>
      <c r="AF10" s="86">
        <f>INDEX(Register!$1:$1048576,MATCH(Calculations!$B10,Register!$A:$A,0),MATCH(Calculations!AF$8,Register!$1:$1,0))</f>
        <v>0</v>
      </c>
      <c r="AG10" s="86">
        <f>INDEX(Register!$1:$1048576,MATCH(Calculations!$B10,Register!$A:$A,0),MATCH(Calculations!AG$8,Register!$1:$1,0))</f>
        <v>0</v>
      </c>
      <c r="AH10" s="86">
        <f>INDEX(Register!$1:$1048576,MATCH(Calculations!$B10,Register!$A:$A,0),MATCH(Calculations!AH$8,Register!$1:$1,0))</f>
        <v>0</v>
      </c>
      <c r="AI10" s="86" t="str">
        <f>INDEX(Register!$1:$1048576,MATCH(Calculations!$B10,Register!$A:$A,0),MATCH(Calculations!AI$8,Register!$1:$1,0))</f>
        <v>Same proportion</v>
      </c>
      <c r="AL10" s="113">
        <f ca="1">INDEX(Inputs!$D$6:$D$12,MATCH(Calculations!$AD10,Inputs!$B$6:$B$12,0))+RAND()*(INDEX(Inputs!$E$6:$E$12,MATCH(Calculations!$AD10,Inputs!$B$6:$B$12,0))-INDEX(Inputs!$D$6:$D$12,MATCH(Calculations!$AD10,Inputs!$B$6:$B$12,0)))</f>
        <v>0.61875722794594878</v>
      </c>
      <c r="AM10" s="113">
        <f ca="1">INDEX(Inputs!$D$6:$D$12,MATCH(Calculations!$AD10,Inputs!$B$6:$B$12,0))+RAND()*(INDEX(Inputs!$E$6:$E$12,MATCH(Calculations!$AD10,Inputs!$B$6:$B$12,0))-INDEX(Inputs!$D$6:$D$12,MATCH(Calculations!$AD10,Inputs!$B$6:$B$12,0)))</f>
        <v>0.37500806464487968</v>
      </c>
      <c r="AN10" s="113">
        <f ca="1">INDEX(Inputs!$D$6:$D$12,MATCH(Calculations!$AD10,Inputs!$B$6:$B$12,0))+RAND()*(INDEX(Inputs!$E$6:$E$12,MATCH(Calculations!$AD10,Inputs!$B$6:$B$12,0))-INDEX(Inputs!$D$6:$D$12,MATCH(Calculations!$AD10,Inputs!$B$6:$B$12,0)))</f>
        <v>0.47321732029126845</v>
      </c>
      <c r="AO10" s="113">
        <f ca="1">INDEX(Inputs!$D$6:$D$12,MATCH(Calculations!$AD10,Inputs!$B$6:$B$12,0))+RAND()*(INDEX(Inputs!$E$6:$E$12,MATCH(Calculations!$AD10,Inputs!$B$6:$B$12,0))-INDEX(Inputs!$D$6:$D$12,MATCH(Calculations!$AD10,Inputs!$B$6:$B$12,0)))</f>
        <v>0.51196118445458105</v>
      </c>
      <c r="AP10" s="113">
        <f ca="1">INDEX(Inputs!$D$6:$D$12,MATCH(Calculations!$AD10,Inputs!$B$6:$B$12,0))+RAND()*(INDEX(Inputs!$E$6:$E$12,MATCH(Calculations!$AD10,Inputs!$B$6:$B$12,0))-INDEX(Inputs!$D$6:$D$12,MATCH(Calculations!$AD10,Inputs!$B$6:$B$12,0)))</f>
        <v>0.52793455367926478</v>
      </c>
      <c r="AQ10" s="24"/>
      <c r="AR10" s="113">
        <f t="shared" ref="AR10:AR15" ca="1" si="17">IF(RAND()&lt;AL10,1,0)</f>
        <v>1</v>
      </c>
      <c r="AS10" s="113">
        <f t="shared" ref="AS10:AS15" ca="1" si="18">IF(RAND()&lt;AM10,1,0)</f>
        <v>0</v>
      </c>
      <c r="AT10" s="113">
        <f t="shared" ref="AT10:AT15" ca="1" si="19">IF(RAND()&lt;AN10,1,0)</f>
        <v>1</v>
      </c>
      <c r="AU10" s="113">
        <f t="shared" ref="AU10:AU15" ca="1" si="20">IF(RAND()&lt;AO10,1,0)</f>
        <v>1</v>
      </c>
      <c r="AV10" s="113">
        <f t="shared" ref="AV10:AV15" ca="1" si="21">IF(RAND()&lt;AP10,1,0)</f>
        <v>0</v>
      </c>
      <c r="AW10" s="24"/>
      <c r="AX10" s="114">
        <f t="shared" ref="AX10:AX15" ca="1" si="22">AR10</f>
        <v>1</v>
      </c>
      <c r="AY10" s="114">
        <f t="shared" ref="AY10:BB10" ca="1" si="23">IF(OR($AI10="Matches",$AI10="Same Proportion"),AX10,IF(AND($AI10="Stops after non-occurrence",AX10=0),0,AS10))</f>
        <v>1</v>
      </c>
      <c r="AZ10" s="114">
        <f t="shared" ca="1" si="23"/>
        <v>1</v>
      </c>
      <c r="BA10" s="114">
        <f t="shared" ca="1" si="23"/>
        <v>1</v>
      </c>
      <c r="BB10" s="114">
        <f t="shared" ca="1" si="23"/>
        <v>1</v>
      </c>
      <c r="BC10" s="24"/>
      <c r="BD10" s="114">
        <f t="shared" ref="BD10:BD15" ca="1" si="24">IF($AF10="Necessary",AX10*INDEX(AX:AX,MATCH($AE10,$B:$B,0)),IF($AF10="Exclusive",1-INDEX(AX:AX,MATCH($AE10,$B:$B,0)),IF($AF10="Matches",INDEX(AX:AX,MATCH($AE10,$B:$B,0)),IF($AF10="Prevented by",MAX(AX10-INDEX(AX:AX,MATCH($AE10,$B:$B,0)),0),IF($AF10="Sufficient",IF(INDEX(AX:AX,MATCH($AE10,$B:$B,0))=1,1,AX10),AX10)))))</f>
        <v>1</v>
      </c>
      <c r="BE10" s="114">
        <f t="shared" ref="BE10:BE15" ca="1" si="25">IF($AF10="Necessary",AY10*INDEX(AY:AY,MATCH($AE10,$B:$B,0)),IF($AF10="Exclusive",1-INDEX(AY:AY,MATCH($AE10,$B:$B,0)),IF($AF10="Matches",INDEX(AY:AY,MATCH($AE10,$B:$B,0)),IF($AF10="Prevented by",MAX(AY10-INDEX(AY:AY,MATCH($AE10,$B:$B,0)),0),IF($AF10="Sufficient",IF(INDEX(AY:AY,MATCH($AE10,$B:$B,0))=1,1,AY10),AY10)))))</f>
        <v>1</v>
      </c>
      <c r="BF10" s="114">
        <f t="shared" ref="BF10:BF15" ca="1" si="26">IF($AF10="Necessary",AZ10*INDEX(AZ:AZ,MATCH($AE10,$B:$B,0)),IF($AF10="Exclusive",1-INDEX(AZ:AZ,MATCH($AE10,$B:$B,0)),IF($AF10="Matches",INDEX(AZ:AZ,MATCH($AE10,$B:$B,0)),IF($AF10="Prevented by",MAX(AZ10-INDEX(AZ:AZ,MATCH($AE10,$B:$B,0)),0),IF($AF10="Sufficient",IF(INDEX(AZ:AZ,MATCH($AE10,$B:$B,0))=1,1,AZ10),AZ10)))))</f>
        <v>1</v>
      </c>
      <c r="BG10" s="114">
        <f t="shared" ref="BG10:BG15" ca="1" si="27">IF($AF10="Necessary",BA10*INDEX(BA:BA,MATCH($AE10,$B:$B,0)),IF($AF10="Exclusive",1-INDEX(BA:BA,MATCH($AE10,$B:$B,0)),IF($AF10="Matches",INDEX(BA:BA,MATCH($AE10,$B:$B,0)),IF($AF10="Prevented by",MAX(BA10-INDEX(BA:BA,MATCH($AE10,$B:$B,0)),0),IF($AF10="Sufficient",IF(INDEX(BA:BA,MATCH($AE10,$B:$B,0))=1,1,BA10),BA10)))))</f>
        <v>1</v>
      </c>
      <c r="BH10" s="114">
        <f t="shared" ref="BH10:BH15" ca="1" si="28">IF($AF10="Necessary",BB10*INDEX(BB:BB,MATCH($AE10,$B:$B,0)),IF($AF10="Exclusive",1-INDEX(BB:BB,MATCH($AE10,$B:$B,0)),IF($AF10="Matches",INDEX(BB:BB,MATCH($AE10,$B:$B,0)),IF($AF10="Prevented by",MAX(BB10-INDEX(BB:BB,MATCH($AE10,$B:$B,0)),0),IF($AF10="Sufficient",IF(INDEX(BB:BB,MATCH($AE10,$B:$B,0))=1,1,BB10),BB10)))))</f>
        <v>1</v>
      </c>
      <c r="BI10" s="24"/>
      <c r="BJ10" s="113">
        <f t="shared" ref="BJ10:BJ15" ca="1" si="29">IF($AH10="Same Proportion",INDEX(BJ:BJ,MATCH($AG10,$B:$B,0)),RAND())</f>
        <v>0.12975955401278472</v>
      </c>
      <c r="BK10" s="113">
        <f t="shared" ref="BK10:BN10" ca="1" si="30">IF($AH10="Same Proportion",INDEX(BK:BK,MATCH($AG10,$B:$B,0)),IF($AI10="Same Proportion",BJ10,RAND()))</f>
        <v>0.12975955401278472</v>
      </c>
      <c r="BL10" s="113">
        <f t="shared" ca="1" si="30"/>
        <v>0.12975955401278472</v>
      </c>
      <c r="BM10" s="113">
        <f t="shared" ca="1" si="30"/>
        <v>0.12975955401278472</v>
      </c>
      <c r="BN10" s="113">
        <f t="shared" ca="1" si="30"/>
        <v>0.12975955401278472</v>
      </c>
      <c r="BO10" s="25"/>
      <c r="BP10" s="114">
        <f t="shared" ref="BP10:BP15" si="31">IF(LEN(D10)=0,0,D10)</f>
        <v>0</v>
      </c>
      <c r="BQ10" s="114">
        <f t="shared" ref="BQ10:BQ15" si="32">IF(LEN(I10)=0,0,I10)</f>
        <v>0</v>
      </c>
      <c r="BR10" s="114">
        <f t="shared" ref="BR10:BR15" si="33">IF(LEN(N10)=0,0,N10)</f>
        <v>0</v>
      </c>
      <c r="BS10" s="114">
        <f t="shared" ref="BS10:BS15" si="34">IF(LEN(S10)=0,0,S10)</f>
        <v>0</v>
      </c>
      <c r="BT10" s="114">
        <f t="shared" ref="BT10:BT15" si="35">IF(LEN(X10)=0,0,X10)</f>
        <v>0</v>
      </c>
      <c r="BU10" s="25"/>
      <c r="BV10" s="114">
        <f t="shared" ref="BV10:BV15" ca="1" si="36">IF(OR(LEN(E10)=0,LEN(F10)=0),0,E10+(F10-E10)*BJ10)</f>
        <v>0.64879777006392358</v>
      </c>
      <c r="BW10" s="114">
        <f t="shared" ref="BW10:BW15" ca="1" si="37">IF(OR(LEN(J10)=0,LEN(K10)=0),0,IF(AND(AI10="Cumulative",BV10&lt;K10),BV10+(K10-BV10)*BK10,J10+(K10-J10)*BK10))</f>
        <v>0.64879777006392358</v>
      </c>
      <c r="BX10" s="114">
        <f t="shared" ref="BX10:BX15" ca="1" si="38">IF(OR(LEN(O10)=0,LEN(P10)=0),0,IF(AND(BW10&lt;P10,AI10="Cumulative"),BW10+(P10-BW10)*BL10,O10+(P10-O10)*BL10))</f>
        <v>0.64879777006392358</v>
      </c>
      <c r="BY10" s="114">
        <f t="shared" ref="BY10:BY15" ca="1" si="39">IF(OR(LEN(T10)=0,LEN(U10)=0),0,IF(AND(BX10&lt;U10,AI10="Cumulative"),BX10+(U10-BX10)*BM10,T10+(U10-T10)*BM10))</f>
        <v>0.64879777006392358</v>
      </c>
      <c r="BZ10" s="114">
        <f t="shared" ref="BZ10:BZ15" ca="1" si="40">IF(OR(LEN(Y10)=0,LEN(Z10)=0),0,IF(AND(BY10&lt;Y10,AI10="Cumulative"),BY10+(Z10-BY10)*BN10,Y10+(Z10-Y10)*BN10))</f>
        <v>0.64879777006392358</v>
      </c>
      <c r="CA10" s="25"/>
      <c r="CB10" s="114">
        <f t="shared" ref="CB10:CB15" si="41">IF(OR(LEN(D10)=0,LEN(E10)=0,LEN(F10)=0),0,IF(BJ10&lt;(D10-E10)/(F10-E10),E10+SQRT((F10-E10)*(D10-E10)*BJ10),F10-SQRT((F10-E10)*(F10-D10)*(1-BJ10))))</f>
        <v>0</v>
      </c>
      <c r="CC10" s="114">
        <f t="shared" ref="CC10:CC15" si="42">IF(OR(LEN(I10)=0,LEN(J10)=0,LEN(K10)=0),0,IF(BK10&lt;(I10-J10)/(K10-J10),J10+SQRT((K10-J10)*(I10-J10)*BK10),K10-SQRT((K10-J10)*(K10-I10)*(1-BK10))))</f>
        <v>0</v>
      </c>
      <c r="CD10" s="114">
        <f t="shared" ref="CD10:CD15" si="43">IF(OR(LEN(N10)=0,LEN(O10)=0,LEN(P10)=0),0,IF(BL10&lt;(N10-O10)/(P10-O10),O10+SQRT((P10-O10)*(N10-O10)*BL10),P10-SQRT((P10-O10)*(P10-N10)*(1-BL10))))</f>
        <v>0</v>
      </c>
      <c r="CE10" s="114">
        <f t="shared" ref="CE10:CE15" si="44">IF(OR(LEN(S10)=0,LEN(T10)=0,LEN(U10)=0),0,IF(BM10&lt;(S10-T10)/(U10-T10),T10+SQRT((U10-T10)*(S10-T10)*BM10),U10-SQRT((U10-T10)*(U10-S10)*(1-BM10))))</f>
        <v>0</v>
      </c>
      <c r="CF10" s="114">
        <f t="shared" ref="CF10:CF15" si="45">IF(OR(LEN(X10)=0,LEN(Y10)=0,LEN(Z10)=0),0,IF(BN10&lt;(X10-Y10)/(Z10-Y10),Y10+SQRT((Z10-Y10)*(X10-Y10)*BN10),Z10-SQRT((Z10-Y10)*(Z10-X10)*(1-BN10))))</f>
        <v>0</v>
      </c>
      <c r="CG10" s="25"/>
      <c r="CH10" s="114">
        <f t="shared" ref="CH10:CH15" si="46">IF(OR(LEN(D10)=0,LEN(G10)=0),0,_xlfn.NORM.INV(BJ10,D10,G10))</f>
        <v>0</v>
      </c>
      <c r="CI10" s="114">
        <f t="shared" ref="CI10:CI15" si="47">IF(OR(LEN(I10)=0,LEN(L10)=0),0,_xlfn.NORM.INV(BK10,I10,L10))</f>
        <v>0</v>
      </c>
      <c r="CJ10" s="114">
        <f t="shared" ref="CJ10:CJ15" si="48">IF(OR(LEN(N10)=0,LEN(Q10)=0),0,_xlfn.NORM.INV(BL10,N10,Q10))</f>
        <v>0</v>
      </c>
      <c r="CK10" s="114">
        <f t="shared" ref="CK10:CK15" si="49">IF(OR(LEN(S10)=0,LEN(V10)=0),0,_xlfn.NORM.INV(BM10,S10,V10))</f>
        <v>0</v>
      </c>
      <c r="CL10" s="114">
        <f t="shared" ref="CL10:CL15" si="50">IF(OR(LEN(X10)=0,LEN(AA10)=0),0,_xlfn.NORM.INV(BN10,X10,AA10))</f>
        <v>0</v>
      </c>
      <c r="CM10" s="25"/>
      <c r="CN10" s="114">
        <f t="shared" ref="CN10:CN15" si="51">IF(OR(LEN(D10)=0,LEN(H10)=0),0,_xlfn.BINOM.INV(10000,D10/10000,BJ10)*H10)</f>
        <v>0</v>
      </c>
      <c r="CO10" s="114">
        <f t="shared" ref="CO10:CO15" si="52">IF(OR(LEN(I10)=0,LEN(M10)=0),0,_xlfn.BINOM.INV(10000,I10/10000,BK10)*M10)</f>
        <v>0</v>
      </c>
      <c r="CP10" s="114">
        <f t="shared" ref="CP10:CP15" si="53">IF(OR(LEN(N10)=0,LEN(R10)=0),0,_xlfn.BINOM.INV(10000,N10/10000,BL10)*R10)</f>
        <v>0</v>
      </c>
      <c r="CQ10" s="114">
        <f t="shared" ref="CQ10:CQ15" si="54">IF(OR(LEN(S10)=0,LEN(W10)=0),0,_xlfn.BINOM.INV(10000,S10/10000,BM10)*W10)</f>
        <v>0</v>
      </c>
      <c r="CR10" s="114">
        <f t="shared" ref="CR10:CR15" si="55">IF(OR(LEN(X10)=0,LEN(AB10)=0),0,_xlfn.BINOM.INV(10000,X10/10000,BN10)*AB10)</f>
        <v>0</v>
      </c>
      <c r="CS10" s="25"/>
      <c r="CT10" s="114">
        <f t="shared" ref="CT10:CT15" ca="1" si="56">_xlfn.IFS($AC10=$CT$1,BV10,$AC10=$CT$2,CB10,$AC10=$CT$3,BP10,$AC10=$CT$4,CH10,$AC10=$CU$1,CN10,TRUE,"Error")</f>
        <v>0.64879777006392358</v>
      </c>
      <c r="CU10" s="114">
        <f t="shared" ref="CU10:CU15" ca="1" si="57">_xlfn.IFS($AC10=$CT$1,BW10,$AC10=$CT$2,CC10,$AC10=$CT$3,BQ10,$AC10=$CT$4,CI10,$AC10=$CU$1,CO10,TRUE,"Error")</f>
        <v>0.64879777006392358</v>
      </c>
      <c r="CV10" s="114">
        <f t="shared" ref="CV10:CV15" ca="1" si="58">_xlfn.IFS($AC10=$CT$1,BX10,$AC10=$CT$2,CD10,$AC10=$CT$3,BR10,$AC10=$CT$4,CJ10,$AC10=$CU$1,CP10,TRUE,"Error")</f>
        <v>0.64879777006392358</v>
      </c>
      <c r="CW10" s="114">
        <f t="shared" ref="CW10:CW15" ca="1" si="59">_xlfn.IFS($AC10=$CT$1,BY10,$AC10=$CT$2,CE10,$AC10=$CT$3,BS10,$AC10=$CT$4,CK10,$AC10=$CU$1,CQ10,TRUE,"Error")</f>
        <v>0.64879777006392358</v>
      </c>
      <c r="CX10" s="114">
        <f t="shared" ref="CX10:CX15" ca="1" si="60">_xlfn.IFS($AC10=$CT$1,BZ10,$AC10=$CT$2,CF10,$AC10=$CT$3,BT10,$AC10=$CT$4,CL10,$AC10=$CU$1,CR10,TRUE,"Error")</f>
        <v>0.64879777006392358</v>
      </c>
      <c r="CY10" s="24"/>
      <c r="CZ10" s="114">
        <f t="shared" ref="CZ10:CZ15" ca="1" si="61">IFERROR(CT10*BD10,0)</f>
        <v>0.64879777006392358</v>
      </c>
      <c r="DA10" s="114">
        <f t="shared" ref="DA10:DA15" ca="1" si="62">IFERROR(CU10*BE10,0)</f>
        <v>0.64879777006392358</v>
      </c>
      <c r="DB10" s="114">
        <f t="shared" ref="DB10:DB15" ca="1" si="63">IFERROR(CV10*BF10,0)</f>
        <v>0.64879777006392358</v>
      </c>
      <c r="DC10" s="114">
        <f t="shared" ref="DC10:DC15" ca="1" si="64">IFERROR(CW10*BG10,0)</f>
        <v>0.64879777006392358</v>
      </c>
      <c r="DD10" s="114">
        <f t="shared" ref="DD10:DD15" ca="1" si="65">IFERROR(CX10*BH10,0)</f>
        <v>0.64879777006392358</v>
      </c>
    </row>
    <row r="11" spans="1:116" x14ac:dyDescent="0.25">
      <c r="B11" s="86" t="s">
        <v>319</v>
      </c>
      <c r="C11" s="86" t="str">
        <f>INDEX(Register!$1:$1048576,MATCH(Calculations!$B11,Register!$A:$A,0),MATCH(Calculations!C$8,Register!$1:$1,0))</f>
        <v>Policy Option 2</v>
      </c>
      <c r="D11" s="85">
        <f>IF(LEN(INDEX(Register!$1:$1048576,MATCH(Calculations!$B11,Register!$A:$A,0),MATCH(Calculations!D$8,Register!$1:$1,0)))=0,"",INDEX(Register!$1:$1048576,MATCH(Calculations!$B11,Register!$A:$A,0),MATCH(Calculations!D$8,Register!$1:$1,0)))</f>
        <v>2.5</v>
      </c>
      <c r="E11" s="85" t="str">
        <f>IF(LEN(INDEX(Register!$1:$1048576,MATCH(Calculations!$B11,Register!$A:$A,0),MATCH(Calculations!E$8,Register!$1:$1,0)))=0,"",INDEX(Register!$1:$1048576,MATCH(Calculations!$B11,Register!$A:$A,0),MATCH(Calculations!E$8,Register!$1:$1,0)))</f>
        <v/>
      </c>
      <c r="F11" s="85" t="str">
        <f>IF(LEN(INDEX(Register!$1:$1048576,MATCH(Calculations!$B11,Register!$A:$A,0),MATCH(Calculations!F$8,Register!$1:$1,0)))=0,"",INDEX(Register!$1:$1048576,MATCH(Calculations!$B11,Register!$A:$A,0),MATCH(Calculations!F$8,Register!$1:$1,0)))</f>
        <v/>
      </c>
      <c r="G11" s="85" t="str">
        <f>IF(LEN(INDEX(Register!$1:$1048576,MATCH(Calculations!$B11,Register!$A:$A,0),MATCH(Calculations!G$8,Register!$1:$1,0)))=0,"",INDEX(Register!$1:$1048576,MATCH(Calculations!$B11,Register!$A:$A,0),MATCH(Calculations!G$8,Register!$1:$1,0)))</f>
        <v/>
      </c>
      <c r="H11" s="85" t="str">
        <f>IF(LEN(INDEX(Register!$1:$1048576,MATCH(Calculations!$B11,Register!$A:$A,0),MATCH(Calculations!H$8,Register!$1:$1,0)))=0,"",INDEX(Register!$1:$1048576,MATCH(Calculations!$B11,Register!$A:$A,0),MATCH(Calculations!H$8,Register!$1:$1,0)))</f>
        <v/>
      </c>
      <c r="I11" s="85">
        <f>IF(LEN(INDEX(Register!$1:$1048576,MATCH(Calculations!$B11,Register!$A:$A,0),MATCH(Calculations!I$8,Register!$1:$1,0)))=0,"",INDEX(Register!$1:$1048576,MATCH(Calculations!$B11,Register!$A:$A,0),MATCH(Calculations!I$8,Register!$1:$1,0)))</f>
        <v>2.5</v>
      </c>
      <c r="J11" s="85" t="str">
        <f>IF(LEN(INDEX(Register!$1:$1048576,MATCH(Calculations!$B11,Register!$A:$A,0),MATCH(Calculations!J$8,Register!$1:$1,0)))=0,"",INDEX(Register!$1:$1048576,MATCH(Calculations!$B11,Register!$A:$A,0),MATCH(Calculations!J$8,Register!$1:$1,0)))</f>
        <v/>
      </c>
      <c r="K11" s="85" t="str">
        <f>IF(LEN(INDEX(Register!$1:$1048576,MATCH(Calculations!$B11,Register!$A:$A,0),MATCH(Calculations!K$8,Register!$1:$1,0)))=0,"",INDEX(Register!$1:$1048576,MATCH(Calculations!$B11,Register!$A:$A,0),MATCH(Calculations!K$8,Register!$1:$1,0)))</f>
        <v/>
      </c>
      <c r="L11" s="85" t="str">
        <f>IF(LEN(INDEX(Register!$1:$1048576,MATCH(Calculations!$B11,Register!$A:$A,0),MATCH(Calculations!L$8,Register!$1:$1,0)))=0,"",INDEX(Register!$1:$1048576,MATCH(Calculations!$B11,Register!$A:$A,0),MATCH(Calculations!L$8,Register!$1:$1,0)))</f>
        <v/>
      </c>
      <c r="M11" s="85" t="str">
        <f>IF(LEN(INDEX(Register!$1:$1048576,MATCH(Calculations!$B11,Register!$A:$A,0),MATCH(Calculations!M$8,Register!$1:$1,0)))=0,"",INDEX(Register!$1:$1048576,MATCH(Calculations!$B11,Register!$A:$A,0),MATCH(Calculations!M$8,Register!$1:$1,0)))</f>
        <v/>
      </c>
      <c r="N11" s="85">
        <f>IF(LEN(INDEX(Register!$1:$1048576,MATCH(Calculations!$B11,Register!$A:$A,0),MATCH(Calculations!N$8,Register!$1:$1,0)))=0,"",INDEX(Register!$1:$1048576,MATCH(Calculations!$B11,Register!$A:$A,0),MATCH(Calculations!N$8,Register!$1:$1,0)))</f>
        <v>2.5</v>
      </c>
      <c r="O11" s="85" t="str">
        <f>IF(LEN(INDEX(Register!$1:$1048576,MATCH(Calculations!$B11,Register!$A:$A,0),MATCH(Calculations!O$8,Register!$1:$1,0)))=0,"",INDEX(Register!$1:$1048576,MATCH(Calculations!$B11,Register!$A:$A,0),MATCH(Calculations!O$8,Register!$1:$1,0)))</f>
        <v/>
      </c>
      <c r="P11" s="85" t="str">
        <f>IF(LEN(INDEX(Register!$1:$1048576,MATCH(Calculations!$B11,Register!$A:$A,0),MATCH(Calculations!P$8,Register!$1:$1,0)))=0,"",INDEX(Register!$1:$1048576,MATCH(Calculations!$B11,Register!$A:$A,0),MATCH(Calculations!P$8,Register!$1:$1,0)))</f>
        <v/>
      </c>
      <c r="Q11" s="85" t="str">
        <f>IF(LEN(INDEX(Register!$1:$1048576,MATCH(Calculations!$B11,Register!$A:$A,0),MATCH(Calculations!Q$8,Register!$1:$1,0)))=0,"",INDEX(Register!$1:$1048576,MATCH(Calculations!$B11,Register!$A:$A,0),MATCH(Calculations!Q$8,Register!$1:$1,0)))</f>
        <v/>
      </c>
      <c r="R11" s="85" t="str">
        <f>IF(LEN(INDEX(Register!$1:$1048576,MATCH(Calculations!$B11,Register!$A:$A,0),MATCH(Calculations!R$8,Register!$1:$1,0)))=0,"",INDEX(Register!$1:$1048576,MATCH(Calculations!$B11,Register!$A:$A,0),MATCH(Calculations!R$8,Register!$1:$1,0)))</f>
        <v/>
      </c>
      <c r="S11" s="85">
        <f>IF(LEN(INDEX(Register!$1:$1048576,MATCH(Calculations!$B11,Register!$A:$A,0),MATCH(Calculations!S$8,Register!$1:$1,0)))=0,"",INDEX(Register!$1:$1048576,MATCH(Calculations!$B11,Register!$A:$A,0),MATCH(Calculations!S$8,Register!$1:$1,0)))</f>
        <v>2.5</v>
      </c>
      <c r="T11" s="85" t="str">
        <f>IF(LEN(INDEX(Register!$1:$1048576,MATCH(Calculations!$B11,Register!$A:$A,0),MATCH(Calculations!T$8,Register!$1:$1,0)))=0,"",INDEX(Register!$1:$1048576,MATCH(Calculations!$B11,Register!$A:$A,0),MATCH(Calculations!T$8,Register!$1:$1,0)))</f>
        <v/>
      </c>
      <c r="U11" s="85" t="str">
        <f>IF(LEN(INDEX(Register!$1:$1048576,MATCH(Calculations!$B11,Register!$A:$A,0),MATCH(Calculations!U$8,Register!$1:$1,0)))=0,"",INDEX(Register!$1:$1048576,MATCH(Calculations!$B11,Register!$A:$A,0),MATCH(Calculations!U$8,Register!$1:$1,0)))</f>
        <v/>
      </c>
      <c r="V11" s="85" t="str">
        <f>IF(LEN(INDEX(Register!$1:$1048576,MATCH(Calculations!$B11,Register!$A:$A,0),MATCH(Calculations!V$8,Register!$1:$1,0)))=0,"",INDEX(Register!$1:$1048576,MATCH(Calculations!$B11,Register!$A:$A,0),MATCH(Calculations!V$8,Register!$1:$1,0)))</f>
        <v/>
      </c>
      <c r="W11" s="85" t="str">
        <f>IF(LEN(INDEX(Register!$1:$1048576,MATCH(Calculations!$B11,Register!$A:$A,0),MATCH(Calculations!W$8,Register!$1:$1,0)))=0,"",INDEX(Register!$1:$1048576,MATCH(Calculations!$B11,Register!$A:$A,0),MATCH(Calculations!W$8,Register!$1:$1,0)))</f>
        <v/>
      </c>
      <c r="X11" s="85">
        <f>IF(LEN(INDEX(Register!$1:$1048576,MATCH(Calculations!$B11,Register!$A:$A,0),MATCH(Calculations!X$8,Register!$1:$1,0)))=0,"",INDEX(Register!$1:$1048576,MATCH(Calculations!$B11,Register!$A:$A,0),MATCH(Calculations!X$8,Register!$1:$1,0)))</f>
        <v>2.5</v>
      </c>
      <c r="Y11" s="85" t="str">
        <f>IF(LEN(INDEX(Register!$1:$1048576,MATCH(Calculations!$B11,Register!$A:$A,0),MATCH(Calculations!Y$8,Register!$1:$1,0)))=0,"",INDEX(Register!$1:$1048576,MATCH(Calculations!$B11,Register!$A:$A,0),MATCH(Calculations!Y$8,Register!$1:$1,0)))</f>
        <v/>
      </c>
      <c r="Z11" s="85" t="str">
        <f>IF(LEN(INDEX(Register!$1:$1048576,MATCH(Calculations!$B11,Register!$A:$A,0),MATCH(Calculations!Z$8,Register!$1:$1,0)))=0,"",INDEX(Register!$1:$1048576,MATCH(Calculations!$B11,Register!$A:$A,0),MATCH(Calculations!Z$8,Register!$1:$1,0)))</f>
        <v/>
      </c>
      <c r="AA11" s="85" t="str">
        <f>IF(LEN(INDEX(Register!$1:$1048576,MATCH(Calculations!$B11,Register!$A:$A,0),MATCH(Calculations!AA$8,Register!$1:$1,0)))=0,"",INDEX(Register!$1:$1048576,MATCH(Calculations!$B11,Register!$A:$A,0),MATCH(Calculations!AA$8,Register!$1:$1,0)))</f>
        <v/>
      </c>
      <c r="AB11" s="85" t="str">
        <f>IF(LEN(INDEX(Register!$1:$1048576,MATCH(Calculations!$B11,Register!$A:$A,0),MATCH(Calculations!AB$8,Register!$1:$1,0)))=0,"",INDEX(Register!$1:$1048576,MATCH(Calculations!$B11,Register!$A:$A,0),MATCH(Calculations!AB$8,Register!$1:$1,0)))</f>
        <v/>
      </c>
      <c r="AC11" s="86" t="str">
        <f>INDEX(Register!$1:$1048576,MATCH(Calculations!$B11,Register!$A:$A,0),MATCH(Calculations!AC$8,Register!$1:$1,0))</f>
        <v>Point</v>
      </c>
      <c r="AD11" s="86" t="str">
        <f>INDEX(Register!$1:$1048576,MATCH(Calculations!$B11,Register!$A:$A,0),MATCH(Calculations!AD$8,Register!$1:$1,0))</f>
        <v>3 - Medium</v>
      </c>
      <c r="AE11" s="86" t="str">
        <f>INDEX(Register!$1:$1048576,MATCH(Calculations!$B11,Register!$A:$A,0),MATCH(Calculations!AE$8,Register!$1:$1,0))</f>
        <v>EG02</v>
      </c>
      <c r="AF11" s="86" t="str">
        <f>INDEX(Register!$1:$1048576,MATCH(Calculations!$B11,Register!$A:$A,0),MATCH(Calculations!AF$8,Register!$1:$1,0))</f>
        <v>Exclusive</v>
      </c>
      <c r="AG11" s="86">
        <f>INDEX(Register!$1:$1048576,MATCH(Calculations!$B11,Register!$A:$A,0),MATCH(Calculations!AG$8,Register!$1:$1,0))</f>
        <v>0</v>
      </c>
      <c r="AH11" s="86">
        <f>INDEX(Register!$1:$1048576,MATCH(Calculations!$B11,Register!$A:$A,0),MATCH(Calculations!AH$8,Register!$1:$1,0))</f>
        <v>0</v>
      </c>
      <c r="AI11" s="86" t="str">
        <f>INDEX(Register!$1:$1048576,MATCH(Calculations!$B11,Register!$A:$A,0),MATCH(Calculations!AI$8,Register!$1:$1,0))</f>
        <v>Matches</v>
      </c>
      <c r="AL11" s="113">
        <f ca="1">INDEX(Inputs!$D$6:$D$12,MATCH(Calculations!$AD11,Inputs!$B$6:$B$12,0))+RAND()*(INDEX(Inputs!$E$6:$E$12,MATCH(Calculations!$AD11,Inputs!$B$6:$B$12,0))-INDEX(Inputs!$D$6:$D$12,MATCH(Calculations!$AD11,Inputs!$B$6:$B$12,0)))</f>
        <v>0.58905862021360988</v>
      </c>
      <c r="AM11" s="113">
        <f ca="1">INDEX(Inputs!$D$6:$D$12,MATCH(Calculations!$AD11,Inputs!$B$6:$B$12,0))+RAND()*(INDEX(Inputs!$E$6:$E$12,MATCH(Calculations!$AD11,Inputs!$B$6:$B$12,0))-INDEX(Inputs!$D$6:$D$12,MATCH(Calculations!$AD11,Inputs!$B$6:$B$12,0)))</f>
        <v>0.37874913036996105</v>
      </c>
      <c r="AN11" s="113">
        <f ca="1">INDEX(Inputs!$D$6:$D$12,MATCH(Calculations!$AD11,Inputs!$B$6:$B$12,0))+RAND()*(INDEX(Inputs!$E$6:$E$12,MATCH(Calculations!$AD11,Inputs!$B$6:$B$12,0))-INDEX(Inputs!$D$6:$D$12,MATCH(Calculations!$AD11,Inputs!$B$6:$B$12,0)))</f>
        <v>0.63774102990493708</v>
      </c>
      <c r="AO11" s="113">
        <f ca="1">INDEX(Inputs!$D$6:$D$12,MATCH(Calculations!$AD11,Inputs!$B$6:$B$12,0))+RAND()*(INDEX(Inputs!$E$6:$E$12,MATCH(Calculations!$AD11,Inputs!$B$6:$B$12,0))-INDEX(Inputs!$D$6:$D$12,MATCH(Calculations!$AD11,Inputs!$B$6:$B$12,0)))</f>
        <v>0.45945110544582357</v>
      </c>
      <c r="AP11" s="113">
        <f ca="1">INDEX(Inputs!$D$6:$D$12,MATCH(Calculations!$AD11,Inputs!$B$6:$B$12,0))+RAND()*(INDEX(Inputs!$E$6:$E$12,MATCH(Calculations!$AD11,Inputs!$B$6:$B$12,0))-INDEX(Inputs!$D$6:$D$12,MATCH(Calculations!$AD11,Inputs!$B$6:$B$12,0)))</f>
        <v>0.45719477756416027</v>
      </c>
      <c r="AQ11" s="24"/>
      <c r="AR11" s="113">
        <f t="shared" ca="1" si="17"/>
        <v>1</v>
      </c>
      <c r="AS11" s="113">
        <f t="shared" ca="1" si="18"/>
        <v>1</v>
      </c>
      <c r="AT11" s="113">
        <f t="shared" ca="1" si="19"/>
        <v>1</v>
      </c>
      <c r="AU11" s="113">
        <f t="shared" ca="1" si="20"/>
        <v>0</v>
      </c>
      <c r="AV11" s="113">
        <f t="shared" ca="1" si="21"/>
        <v>1</v>
      </c>
      <c r="AW11" s="24"/>
      <c r="AX11" s="114">
        <f t="shared" ca="1" si="22"/>
        <v>1</v>
      </c>
      <c r="AY11" s="114">
        <f t="shared" ref="AY11:BB11" ca="1" si="66">IF(OR($AI11="Matches",$AI11="Same Proportion"),AX11,IF(AND($AI11="Stops after non-occurrence",AX11=0),0,AS11))</f>
        <v>1</v>
      </c>
      <c r="AZ11" s="114">
        <f t="shared" ca="1" si="66"/>
        <v>1</v>
      </c>
      <c r="BA11" s="114">
        <f t="shared" ca="1" si="66"/>
        <v>1</v>
      </c>
      <c r="BB11" s="114">
        <f t="shared" ca="1" si="66"/>
        <v>1</v>
      </c>
      <c r="BC11" s="24"/>
      <c r="BD11" s="114">
        <f t="shared" ca="1" si="24"/>
        <v>0</v>
      </c>
      <c r="BE11" s="114">
        <f t="shared" ca="1" si="25"/>
        <v>0</v>
      </c>
      <c r="BF11" s="114">
        <f t="shared" ca="1" si="26"/>
        <v>0</v>
      </c>
      <c r="BG11" s="114">
        <f t="shared" ca="1" si="27"/>
        <v>0</v>
      </c>
      <c r="BH11" s="114">
        <f t="shared" ca="1" si="28"/>
        <v>0</v>
      </c>
      <c r="BI11" s="24"/>
      <c r="BJ11" s="113">
        <f t="shared" ca="1" si="29"/>
        <v>0.69963400005237508</v>
      </c>
      <c r="BK11" s="113">
        <f t="shared" ref="BK11:BN11" ca="1" si="67">IF($AH11="Same Proportion",INDEX(BK:BK,MATCH($AG11,$B:$B,0)),IF($AI11="Same Proportion",BJ11,RAND()))</f>
        <v>0.14998364788542584</v>
      </c>
      <c r="BL11" s="113">
        <f t="shared" ca="1" si="67"/>
        <v>0.99120763843730064</v>
      </c>
      <c r="BM11" s="113">
        <f t="shared" ca="1" si="67"/>
        <v>0.33294743686143269</v>
      </c>
      <c r="BN11" s="113">
        <f t="shared" ca="1" si="67"/>
        <v>0.68776629173840409</v>
      </c>
      <c r="BO11" s="25"/>
      <c r="BP11" s="114">
        <f t="shared" si="31"/>
        <v>2.5</v>
      </c>
      <c r="BQ11" s="114">
        <f t="shared" si="32"/>
        <v>2.5</v>
      </c>
      <c r="BR11" s="114">
        <f t="shared" si="33"/>
        <v>2.5</v>
      </c>
      <c r="BS11" s="114">
        <f t="shared" si="34"/>
        <v>2.5</v>
      </c>
      <c r="BT11" s="114">
        <f t="shared" si="35"/>
        <v>2.5</v>
      </c>
      <c r="BU11" s="25"/>
      <c r="BV11" s="114">
        <f t="shared" si="36"/>
        <v>0</v>
      </c>
      <c r="BW11" s="114">
        <f t="shared" si="37"/>
        <v>0</v>
      </c>
      <c r="BX11" s="114">
        <f t="shared" si="38"/>
        <v>0</v>
      </c>
      <c r="BY11" s="114">
        <f t="shared" si="39"/>
        <v>0</v>
      </c>
      <c r="BZ11" s="114">
        <f t="shared" si="40"/>
        <v>0</v>
      </c>
      <c r="CA11" s="25"/>
      <c r="CB11" s="114">
        <f t="shared" si="41"/>
        <v>0</v>
      </c>
      <c r="CC11" s="114">
        <f t="shared" si="42"/>
        <v>0</v>
      </c>
      <c r="CD11" s="114">
        <f t="shared" si="43"/>
        <v>0</v>
      </c>
      <c r="CE11" s="114">
        <f t="shared" si="44"/>
        <v>0</v>
      </c>
      <c r="CF11" s="114">
        <f t="shared" si="45"/>
        <v>0</v>
      </c>
      <c r="CG11" s="25"/>
      <c r="CH11" s="114">
        <f t="shared" si="46"/>
        <v>0</v>
      </c>
      <c r="CI11" s="114">
        <f t="shared" si="47"/>
        <v>0</v>
      </c>
      <c r="CJ11" s="114">
        <f t="shared" si="48"/>
        <v>0</v>
      </c>
      <c r="CK11" s="114">
        <f t="shared" si="49"/>
        <v>0</v>
      </c>
      <c r="CL11" s="114">
        <f t="shared" si="50"/>
        <v>0</v>
      </c>
      <c r="CM11" s="25"/>
      <c r="CN11" s="114">
        <f t="shared" si="51"/>
        <v>0</v>
      </c>
      <c r="CO11" s="114">
        <f t="shared" si="52"/>
        <v>0</v>
      </c>
      <c r="CP11" s="114">
        <f t="shared" si="53"/>
        <v>0</v>
      </c>
      <c r="CQ11" s="114">
        <f t="shared" si="54"/>
        <v>0</v>
      </c>
      <c r="CR11" s="114">
        <f t="shared" si="55"/>
        <v>0</v>
      </c>
      <c r="CS11" s="25"/>
      <c r="CT11" s="114">
        <f t="shared" si="56"/>
        <v>2.5</v>
      </c>
      <c r="CU11" s="114">
        <f t="shared" si="57"/>
        <v>2.5</v>
      </c>
      <c r="CV11" s="114">
        <f t="shared" si="58"/>
        <v>2.5</v>
      </c>
      <c r="CW11" s="114">
        <f t="shared" si="59"/>
        <v>2.5</v>
      </c>
      <c r="CX11" s="114">
        <f t="shared" si="60"/>
        <v>2.5</v>
      </c>
      <c r="CY11" s="24"/>
      <c r="CZ11" s="114">
        <f t="shared" ca="1" si="61"/>
        <v>0</v>
      </c>
      <c r="DA11" s="114">
        <f t="shared" ca="1" si="62"/>
        <v>0</v>
      </c>
      <c r="DB11" s="114">
        <f t="shared" ca="1" si="63"/>
        <v>0</v>
      </c>
      <c r="DC11" s="114">
        <f t="shared" ca="1" si="64"/>
        <v>0</v>
      </c>
      <c r="DD11" s="114">
        <f t="shared" ca="1" si="65"/>
        <v>0</v>
      </c>
    </row>
    <row r="12" spans="1:116" x14ac:dyDescent="0.25">
      <c r="B12" s="86" t="s">
        <v>322</v>
      </c>
      <c r="C12" s="86" t="str">
        <f>INDEX(Register!$1:$1048576,MATCH(Calculations!$B12,Register!$A:$A,0),MATCH(Calculations!C$8,Register!$1:$1,0))</f>
        <v>Policy Option 1 - Risk</v>
      </c>
      <c r="D12" s="85" t="str">
        <f>IF(LEN(INDEX(Register!$1:$1048576,MATCH(Calculations!$B12,Register!$A:$A,0),MATCH(Calculations!D$8,Register!$1:$1,0)))=0,"",INDEX(Register!$1:$1048576,MATCH(Calculations!$B12,Register!$A:$A,0),MATCH(Calculations!D$8,Register!$1:$1,0)))</f>
        <v/>
      </c>
      <c r="E12" s="85">
        <f>IF(LEN(INDEX(Register!$1:$1048576,MATCH(Calculations!$B12,Register!$A:$A,0),MATCH(Calculations!E$8,Register!$1:$1,0)))=0,"",INDEX(Register!$1:$1048576,MATCH(Calculations!$B12,Register!$A:$A,0),MATCH(Calculations!E$8,Register!$1:$1,0)))</f>
        <v>0</v>
      </c>
      <c r="F12" s="85">
        <f>IF(LEN(INDEX(Register!$1:$1048576,MATCH(Calculations!$B12,Register!$A:$A,0),MATCH(Calculations!F$8,Register!$1:$1,0)))=0,"",INDEX(Register!$1:$1048576,MATCH(Calculations!$B12,Register!$A:$A,0),MATCH(Calculations!F$8,Register!$1:$1,0)))</f>
        <v>3</v>
      </c>
      <c r="G12" s="85" t="str">
        <f>IF(LEN(INDEX(Register!$1:$1048576,MATCH(Calculations!$B12,Register!$A:$A,0),MATCH(Calculations!G$8,Register!$1:$1,0)))=0,"",INDEX(Register!$1:$1048576,MATCH(Calculations!$B12,Register!$A:$A,0),MATCH(Calculations!G$8,Register!$1:$1,0)))</f>
        <v/>
      </c>
      <c r="H12" s="85" t="str">
        <f>IF(LEN(INDEX(Register!$1:$1048576,MATCH(Calculations!$B12,Register!$A:$A,0),MATCH(Calculations!H$8,Register!$1:$1,0)))=0,"",INDEX(Register!$1:$1048576,MATCH(Calculations!$B12,Register!$A:$A,0),MATCH(Calculations!H$8,Register!$1:$1,0)))</f>
        <v/>
      </c>
      <c r="I12" s="85" t="str">
        <f>IF(LEN(INDEX(Register!$1:$1048576,MATCH(Calculations!$B12,Register!$A:$A,0),MATCH(Calculations!I$8,Register!$1:$1,0)))=0,"",INDEX(Register!$1:$1048576,MATCH(Calculations!$B12,Register!$A:$A,0),MATCH(Calculations!I$8,Register!$1:$1,0)))</f>
        <v/>
      </c>
      <c r="J12" s="85">
        <f>IF(LEN(INDEX(Register!$1:$1048576,MATCH(Calculations!$B12,Register!$A:$A,0),MATCH(Calculations!J$8,Register!$1:$1,0)))=0,"",INDEX(Register!$1:$1048576,MATCH(Calculations!$B12,Register!$A:$A,0),MATCH(Calculations!J$8,Register!$1:$1,0)))</f>
        <v>0</v>
      </c>
      <c r="K12" s="85">
        <f>IF(LEN(INDEX(Register!$1:$1048576,MATCH(Calculations!$B12,Register!$A:$A,0),MATCH(Calculations!K$8,Register!$1:$1,0)))=0,"",INDEX(Register!$1:$1048576,MATCH(Calculations!$B12,Register!$A:$A,0),MATCH(Calculations!K$8,Register!$1:$1,0)))</f>
        <v>3</v>
      </c>
      <c r="L12" s="85" t="str">
        <f>IF(LEN(INDEX(Register!$1:$1048576,MATCH(Calculations!$B12,Register!$A:$A,0),MATCH(Calculations!L$8,Register!$1:$1,0)))=0,"",INDEX(Register!$1:$1048576,MATCH(Calculations!$B12,Register!$A:$A,0),MATCH(Calculations!L$8,Register!$1:$1,0)))</f>
        <v/>
      </c>
      <c r="M12" s="85" t="str">
        <f>IF(LEN(INDEX(Register!$1:$1048576,MATCH(Calculations!$B12,Register!$A:$A,0),MATCH(Calculations!M$8,Register!$1:$1,0)))=0,"",INDEX(Register!$1:$1048576,MATCH(Calculations!$B12,Register!$A:$A,0),MATCH(Calculations!M$8,Register!$1:$1,0)))</f>
        <v/>
      </c>
      <c r="N12" s="85" t="str">
        <f>IF(LEN(INDEX(Register!$1:$1048576,MATCH(Calculations!$B12,Register!$A:$A,0),MATCH(Calculations!N$8,Register!$1:$1,0)))=0,"",INDEX(Register!$1:$1048576,MATCH(Calculations!$B12,Register!$A:$A,0),MATCH(Calculations!N$8,Register!$1:$1,0)))</f>
        <v/>
      </c>
      <c r="O12" s="85">
        <f>IF(LEN(INDEX(Register!$1:$1048576,MATCH(Calculations!$B12,Register!$A:$A,0),MATCH(Calculations!O$8,Register!$1:$1,0)))=0,"",INDEX(Register!$1:$1048576,MATCH(Calculations!$B12,Register!$A:$A,0),MATCH(Calculations!O$8,Register!$1:$1,0)))</f>
        <v>0</v>
      </c>
      <c r="P12" s="85">
        <f>IF(LEN(INDEX(Register!$1:$1048576,MATCH(Calculations!$B12,Register!$A:$A,0),MATCH(Calculations!P$8,Register!$1:$1,0)))=0,"",INDEX(Register!$1:$1048576,MATCH(Calculations!$B12,Register!$A:$A,0),MATCH(Calculations!P$8,Register!$1:$1,0)))</f>
        <v>3</v>
      </c>
      <c r="Q12" s="85" t="str">
        <f>IF(LEN(INDEX(Register!$1:$1048576,MATCH(Calculations!$B12,Register!$A:$A,0),MATCH(Calculations!Q$8,Register!$1:$1,0)))=0,"",INDEX(Register!$1:$1048576,MATCH(Calculations!$B12,Register!$A:$A,0),MATCH(Calculations!Q$8,Register!$1:$1,0)))</f>
        <v/>
      </c>
      <c r="R12" s="85" t="str">
        <f>IF(LEN(INDEX(Register!$1:$1048576,MATCH(Calculations!$B12,Register!$A:$A,0),MATCH(Calculations!R$8,Register!$1:$1,0)))=0,"",INDEX(Register!$1:$1048576,MATCH(Calculations!$B12,Register!$A:$A,0),MATCH(Calculations!R$8,Register!$1:$1,0)))</f>
        <v/>
      </c>
      <c r="S12" s="85" t="str">
        <f>IF(LEN(INDEX(Register!$1:$1048576,MATCH(Calculations!$B12,Register!$A:$A,0),MATCH(Calculations!S$8,Register!$1:$1,0)))=0,"",INDEX(Register!$1:$1048576,MATCH(Calculations!$B12,Register!$A:$A,0),MATCH(Calculations!S$8,Register!$1:$1,0)))</f>
        <v/>
      </c>
      <c r="T12" s="85">
        <f>IF(LEN(INDEX(Register!$1:$1048576,MATCH(Calculations!$B12,Register!$A:$A,0),MATCH(Calculations!T$8,Register!$1:$1,0)))=0,"",INDEX(Register!$1:$1048576,MATCH(Calculations!$B12,Register!$A:$A,0),MATCH(Calculations!T$8,Register!$1:$1,0)))</f>
        <v>0</v>
      </c>
      <c r="U12" s="85">
        <f>IF(LEN(INDEX(Register!$1:$1048576,MATCH(Calculations!$B12,Register!$A:$A,0),MATCH(Calculations!U$8,Register!$1:$1,0)))=0,"",INDEX(Register!$1:$1048576,MATCH(Calculations!$B12,Register!$A:$A,0),MATCH(Calculations!U$8,Register!$1:$1,0)))</f>
        <v>3</v>
      </c>
      <c r="V12" s="85" t="str">
        <f>IF(LEN(INDEX(Register!$1:$1048576,MATCH(Calculations!$B12,Register!$A:$A,0),MATCH(Calculations!V$8,Register!$1:$1,0)))=0,"",INDEX(Register!$1:$1048576,MATCH(Calculations!$B12,Register!$A:$A,0),MATCH(Calculations!V$8,Register!$1:$1,0)))</f>
        <v/>
      </c>
      <c r="W12" s="85" t="str">
        <f>IF(LEN(INDEX(Register!$1:$1048576,MATCH(Calculations!$B12,Register!$A:$A,0),MATCH(Calculations!W$8,Register!$1:$1,0)))=0,"",INDEX(Register!$1:$1048576,MATCH(Calculations!$B12,Register!$A:$A,0),MATCH(Calculations!W$8,Register!$1:$1,0)))</f>
        <v/>
      </c>
      <c r="X12" s="85" t="str">
        <f>IF(LEN(INDEX(Register!$1:$1048576,MATCH(Calculations!$B12,Register!$A:$A,0),MATCH(Calculations!X$8,Register!$1:$1,0)))=0,"",INDEX(Register!$1:$1048576,MATCH(Calculations!$B12,Register!$A:$A,0),MATCH(Calculations!X$8,Register!$1:$1,0)))</f>
        <v/>
      </c>
      <c r="Y12" s="85">
        <f>IF(LEN(INDEX(Register!$1:$1048576,MATCH(Calculations!$B12,Register!$A:$A,0),MATCH(Calculations!Y$8,Register!$1:$1,0)))=0,"",INDEX(Register!$1:$1048576,MATCH(Calculations!$B12,Register!$A:$A,0),MATCH(Calculations!Y$8,Register!$1:$1,0)))</f>
        <v>0</v>
      </c>
      <c r="Z12" s="85">
        <f>IF(LEN(INDEX(Register!$1:$1048576,MATCH(Calculations!$B12,Register!$A:$A,0),MATCH(Calculations!Z$8,Register!$1:$1,0)))=0,"",INDEX(Register!$1:$1048576,MATCH(Calculations!$B12,Register!$A:$A,0),MATCH(Calculations!Z$8,Register!$1:$1,0)))</f>
        <v>3</v>
      </c>
      <c r="AA12" s="85" t="str">
        <f>IF(LEN(INDEX(Register!$1:$1048576,MATCH(Calculations!$B12,Register!$A:$A,0),MATCH(Calculations!AA$8,Register!$1:$1,0)))=0,"",INDEX(Register!$1:$1048576,MATCH(Calculations!$B12,Register!$A:$A,0),MATCH(Calculations!AA$8,Register!$1:$1,0)))</f>
        <v/>
      </c>
      <c r="AB12" s="85" t="str">
        <f>IF(LEN(INDEX(Register!$1:$1048576,MATCH(Calculations!$B12,Register!$A:$A,0),MATCH(Calculations!AB$8,Register!$1:$1,0)))=0,"",INDEX(Register!$1:$1048576,MATCH(Calculations!$B12,Register!$A:$A,0),MATCH(Calculations!AB$8,Register!$1:$1,0)))</f>
        <v/>
      </c>
      <c r="AC12" s="86" t="str">
        <f>INDEX(Register!$1:$1048576,MATCH(Calculations!$B12,Register!$A:$A,0),MATCH(Calculations!AC$8,Register!$1:$1,0))</f>
        <v>Uniform</v>
      </c>
      <c r="AD12" s="86" t="str">
        <f>INDEX(Register!$1:$1048576,MATCH(Calculations!$B12,Register!$A:$A,0),MATCH(Calculations!AD$8,Register!$1:$1,0))</f>
        <v>2 - Low</v>
      </c>
      <c r="AE12" s="86" t="str">
        <f>INDEX(Register!$1:$1048576,MATCH(Calculations!$B12,Register!$A:$A,0),MATCH(Calculations!AE$8,Register!$1:$1,0))</f>
        <v>EG02</v>
      </c>
      <c r="AF12" s="86" t="str">
        <f>INDEX(Register!$1:$1048576,MATCH(Calculations!$B12,Register!$A:$A,0),MATCH(Calculations!AF$8,Register!$1:$1,0))</f>
        <v>Necessary</v>
      </c>
      <c r="AG12" s="86" t="str">
        <f>INDEX(Register!$1:$1048576,MATCH(Calculations!$B12,Register!$A:$A,0),MATCH(Calculations!AG$8,Register!$1:$1,0))</f>
        <v>EG02</v>
      </c>
      <c r="AH12" s="86" t="str">
        <f>INDEX(Register!$1:$1048576,MATCH(Calculations!$B12,Register!$A:$A,0),MATCH(Calculations!AH$8,Register!$1:$1,0))</f>
        <v>Same Proportion</v>
      </c>
      <c r="AI12" s="86">
        <f>INDEX(Register!$1:$1048576,MATCH(Calculations!$B12,Register!$A:$A,0),MATCH(Calculations!AI$8,Register!$1:$1,0))</f>
        <v>0</v>
      </c>
      <c r="AL12" s="113">
        <f ca="1">INDEX(Inputs!$D$6:$D$12,MATCH(Calculations!$AD12,Inputs!$B$6:$B$12,0))+RAND()*(INDEX(Inputs!$E$6:$E$12,MATCH(Calculations!$AD12,Inputs!$B$6:$B$12,0))-INDEX(Inputs!$D$6:$D$12,MATCH(Calculations!$AD12,Inputs!$B$6:$B$12,0)))</f>
        <v>0.36002695614840952</v>
      </c>
      <c r="AM12" s="113">
        <f ca="1">INDEX(Inputs!$D$6:$D$12,MATCH(Calculations!$AD12,Inputs!$B$6:$B$12,0))+RAND()*(INDEX(Inputs!$E$6:$E$12,MATCH(Calculations!$AD12,Inputs!$B$6:$B$12,0))-INDEX(Inputs!$D$6:$D$12,MATCH(Calculations!$AD12,Inputs!$B$6:$B$12,0)))</f>
        <v>0.1853374994559718</v>
      </c>
      <c r="AN12" s="113">
        <f ca="1">INDEX(Inputs!$D$6:$D$12,MATCH(Calculations!$AD12,Inputs!$B$6:$B$12,0))+RAND()*(INDEX(Inputs!$E$6:$E$12,MATCH(Calculations!$AD12,Inputs!$B$6:$B$12,0))-INDEX(Inputs!$D$6:$D$12,MATCH(Calculations!$AD12,Inputs!$B$6:$B$12,0)))</f>
        <v>0.3073600309961666</v>
      </c>
      <c r="AO12" s="113">
        <f ca="1">INDEX(Inputs!$D$6:$D$12,MATCH(Calculations!$AD12,Inputs!$B$6:$B$12,0))+RAND()*(INDEX(Inputs!$E$6:$E$12,MATCH(Calculations!$AD12,Inputs!$B$6:$B$12,0))-INDEX(Inputs!$D$6:$D$12,MATCH(Calculations!$AD12,Inputs!$B$6:$B$12,0)))</f>
        <v>0.22279327874486132</v>
      </c>
      <c r="AP12" s="113">
        <f ca="1">INDEX(Inputs!$D$6:$D$12,MATCH(Calculations!$AD12,Inputs!$B$6:$B$12,0))+RAND()*(INDEX(Inputs!$E$6:$E$12,MATCH(Calculations!$AD12,Inputs!$B$6:$B$12,0))-INDEX(Inputs!$D$6:$D$12,MATCH(Calculations!$AD12,Inputs!$B$6:$B$12,0)))</f>
        <v>0.40366781510174043</v>
      </c>
      <c r="AQ12" s="24"/>
      <c r="AR12" s="113">
        <f t="shared" ca="1" si="17"/>
        <v>0</v>
      </c>
      <c r="AS12" s="113">
        <f t="shared" ca="1" si="18"/>
        <v>0</v>
      </c>
      <c r="AT12" s="113">
        <f t="shared" ca="1" si="19"/>
        <v>1</v>
      </c>
      <c r="AU12" s="113">
        <f t="shared" ca="1" si="20"/>
        <v>1</v>
      </c>
      <c r="AV12" s="113">
        <f t="shared" ca="1" si="21"/>
        <v>0</v>
      </c>
      <c r="AW12" s="24"/>
      <c r="AX12" s="114">
        <f t="shared" ca="1" si="22"/>
        <v>0</v>
      </c>
      <c r="AY12" s="114">
        <f t="shared" ref="AY12:BB12" ca="1" si="68">IF(OR($AI12="Matches",$AI12="Same Proportion"),AX12,IF(AND($AI12="Stops after non-occurrence",AX12=0),0,AS12))</f>
        <v>0</v>
      </c>
      <c r="AZ12" s="114">
        <f t="shared" ca="1" si="68"/>
        <v>1</v>
      </c>
      <c r="BA12" s="114">
        <f t="shared" ca="1" si="68"/>
        <v>1</v>
      </c>
      <c r="BB12" s="114">
        <f t="shared" ca="1" si="68"/>
        <v>0</v>
      </c>
      <c r="BC12" s="24"/>
      <c r="BD12" s="114">
        <f t="shared" ca="1" si="24"/>
        <v>0</v>
      </c>
      <c r="BE12" s="114">
        <f t="shared" ca="1" si="25"/>
        <v>0</v>
      </c>
      <c r="BF12" s="114">
        <f t="shared" ca="1" si="26"/>
        <v>1</v>
      </c>
      <c r="BG12" s="114">
        <f t="shared" ca="1" si="27"/>
        <v>1</v>
      </c>
      <c r="BH12" s="114">
        <f t="shared" ca="1" si="28"/>
        <v>0</v>
      </c>
      <c r="BI12" s="24"/>
      <c r="BJ12" s="113">
        <f t="shared" ca="1" si="29"/>
        <v>0.12975955401278472</v>
      </c>
      <c r="BK12" s="113">
        <f t="shared" ref="BK12:BN12" ca="1" si="69">IF($AH12="Same Proportion",INDEX(BK:BK,MATCH($AG12,$B:$B,0)),IF($AI12="Same Proportion",BJ12,RAND()))</f>
        <v>0.12975955401278472</v>
      </c>
      <c r="BL12" s="113">
        <f t="shared" ca="1" si="69"/>
        <v>0.12975955401278472</v>
      </c>
      <c r="BM12" s="113">
        <f t="shared" ca="1" si="69"/>
        <v>0.12975955401278472</v>
      </c>
      <c r="BN12" s="113">
        <f t="shared" ca="1" si="69"/>
        <v>0.12975955401278472</v>
      </c>
      <c r="BO12" s="25"/>
      <c r="BP12" s="114">
        <f t="shared" si="31"/>
        <v>0</v>
      </c>
      <c r="BQ12" s="114">
        <f t="shared" si="32"/>
        <v>0</v>
      </c>
      <c r="BR12" s="114">
        <f t="shared" si="33"/>
        <v>0</v>
      </c>
      <c r="BS12" s="114">
        <f t="shared" si="34"/>
        <v>0</v>
      </c>
      <c r="BT12" s="114">
        <f t="shared" si="35"/>
        <v>0</v>
      </c>
      <c r="BU12" s="25"/>
      <c r="BV12" s="114">
        <f t="shared" ca="1" si="36"/>
        <v>0.38927866203835415</v>
      </c>
      <c r="BW12" s="114">
        <f t="shared" ca="1" si="37"/>
        <v>0.38927866203835415</v>
      </c>
      <c r="BX12" s="114">
        <f t="shared" ca="1" si="38"/>
        <v>0.38927866203835415</v>
      </c>
      <c r="BY12" s="114">
        <f t="shared" ca="1" si="39"/>
        <v>0.38927866203835415</v>
      </c>
      <c r="BZ12" s="114">
        <f t="shared" ca="1" si="40"/>
        <v>0.38927866203835415</v>
      </c>
      <c r="CA12" s="25"/>
      <c r="CB12" s="114">
        <f t="shared" si="41"/>
        <v>0</v>
      </c>
      <c r="CC12" s="114">
        <f t="shared" si="42"/>
        <v>0</v>
      </c>
      <c r="CD12" s="114">
        <f t="shared" si="43"/>
        <v>0</v>
      </c>
      <c r="CE12" s="114">
        <f t="shared" si="44"/>
        <v>0</v>
      </c>
      <c r="CF12" s="114">
        <f t="shared" si="45"/>
        <v>0</v>
      </c>
      <c r="CG12" s="25"/>
      <c r="CH12" s="114">
        <f t="shared" si="46"/>
        <v>0</v>
      </c>
      <c r="CI12" s="114">
        <f t="shared" si="47"/>
        <v>0</v>
      </c>
      <c r="CJ12" s="114">
        <f t="shared" si="48"/>
        <v>0</v>
      </c>
      <c r="CK12" s="114">
        <f t="shared" si="49"/>
        <v>0</v>
      </c>
      <c r="CL12" s="114">
        <f t="shared" si="50"/>
        <v>0</v>
      </c>
      <c r="CM12" s="25"/>
      <c r="CN12" s="114">
        <f t="shared" si="51"/>
        <v>0</v>
      </c>
      <c r="CO12" s="114">
        <f t="shared" si="52"/>
        <v>0</v>
      </c>
      <c r="CP12" s="114">
        <f t="shared" si="53"/>
        <v>0</v>
      </c>
      <c r="CQ12" s="114">
        <f t="shared" si="54"/>
        <v>0</v>
      </c>
      <c r="CR12" s="114">
        <f t="shared" si="55"/>
        <v>0</v>
      </c>
      <c r="CS12" s="25"/>
      <c r="CT12" s="114">
        <f t="shared" ca="1" si="56"/>
        <v>0.38927866203835415</v>
      </c>
      <c r="CU12" s="114">
        <f t="shared" ca="1" si="57"/>
        <v>0.38927866203835415</v>
      </c>
      <c r="CV12" s="114">
        <f t="shared" ca="1" si="58"/>
        <v>0.38927866203835415</v>
      </c>
      <c r="CW12" s="114">
        <f t="shared" ca="1" si="59"/>
        <v>0.38927866203835415</v>
      </c>
      <c r="CX12" s="114">
        <f t="shared" ca="1" si="60"/>
        <v>0.38927866203835415</v>
      </c>
      <c r="CY12" s="24"/>
      <c r="CZ12" s="114">
        <f t="shared" ca="1" si="61"/>
        <v>0</v>
      </c>
      <c r="DA12" s="114">
        <f t="shared" ca="1" si="62"/>
        <v>0</v>
      </c>
      <c r="DB12" s="114">
        <f t="shared" ca="1" si="63"/>
        <v>0.38927866203835415</v>
      </c>
      <c r="DC12" s="114">
        <f t="shared" ca="1" si="64"/>
        <v>0.38927866203835415</v>
      </c>
      <c r="DD12" s="114">
        <f t="shared" ca="1" si="65"/>
        <v>0</v>
      </c>
    </row>
    <row r="13" spans="1:116" x14ac:dyDescent="0.25">
      <c r="B13" s="86" t="s">
        <v>324</v>
      </c>
      <c r="C13" s="86" t="str">
        <f>INDEX(Register!$1:$1048576,MATCH(Calculations!$B13,Register!$A:$A,0),MATCH(Calculations!C$8,Register!$1:$1,0))</f>
        <v>Opportunity linked to policy 2</v>
      </c>
      <c r="D13" s="85">
        <f>IF(LEN(INDEX(Register!$1:$1048576,MATCH(Calculations!$B13,Register!$A:$A,0),MATCH(Calculations!D$8,Register!$1:$1,0)))=0,"",INDEX(Register!$1:$1048576,MATCH(Calculations!$B13,Register!$A:$A,0),MATCH(Calculations!D$8,Register!$1:$1,0)))</f>
        <v>-2</v>
      </c>
      <c r="E13" s="85">
        <f>IF(LEN(INDEX(Register!$1:$1048576,MATCH(Calculations!$B13,Register!$A:$A,0),MATCH(Calculations!E$8,Register!$1:$1,0)))=0,"",INDEX(Register!$1:$1048576,MATCH(Calculations!$B13,Register!$A:$A,0),MATCH(Calculations!E$8,Register!$1:$1,0)))</f>
        <v>-2</v>
      </c>
      <c r="F13" s="85">
        <f>IF(LEN(INDEX(Register!$1:$1048576,MATCH(Calculations!$B13,Register!$A:$A,0),MATCH(Calculations!F$8,Register!$1:$1,0)))=0,"",INDEX(Register!$1:$1048576,MATCH(Calculations!$B13,Register!$A:$A,0),MATCH(Calculations!F$8,Register!$1:$1,0)))</f>
        <v>-3</v>
      </c>
      <c r="G13" s="85" t="str">
        <f>IF(LEN(INDEX(Register!$1:$1048576,MATCH(Calculations!$B13,Register!$A:$A,0),MATCH(Calculations!G$8,Register!$1:$1,0)))=0,"",INDEX(Register!$1:$1048576,MATCH(Calculations!$B13,Register!$A:$A,0),MATCH(Calculations!G$8,Register!$1:$1,0)))</f>
        <v/>
      </c>
      <c r="H13" s="85" t="str">
        <f>IF(LEN(INDEX(Register!$1:$1048576,MATCH(Calculations!$B13,Register!$A:$A,0),MATCH(Calculations!H$8,Register!$1:$1,0)))=0,"",INDEX(Register!$1:$1048576,MATCH(Calculations!$B13,Register!$A:$A,0),MATCH(Calculations!H$8,Register!$1:$1,0)))</f>
        <v/>
      </c>
      <c r="I13" s="85">
        <f>IF(LEN(INDEX(Register!$1:$1048576,MATCH(Calculations!$B13,Register!$A:$A,0),MATCH(Calculations!I$8,Register!$1:$1,0)))=0,"",INDEX(Register!$1:$1048576,MATCH(Calculations!$B13,Register!$A:$A,0),MATCH(Calculations!I$8,Register!$1:$1,0)))</f>
        <v>-2</v>
      </c>
      <c r="J13" s="85">
        <f>IF(LEN(INDEX(Register!$1:$1048576,MATCH(Calculations!$B13,Register!$A:$A,0),MATCH(Calculations!J$8,Register!$1:$1,0)))=0,"",INDEX(Register!$1:$1048576,MATCH(Calculations!$B13,Register!$A:$A,0),MATCH(Calculations!J$8,Register!$1:$1,0)))</f>
        <v>-2</v>
      </c>
      <c r="K13" s="85">
        <f>IF(LEN(INDEX(Register!$1:$1048576,MATCH(Calculations!$B13,Register!$A:$A,0),MATCH(Calculations!K$8,Register!$1:$1,0)))=0,"",INDEX(Register!$1:$1048576,MATCH(Calculations!$B13,Register!$A:$A,0),MATCH(Calculations!K$8,Register!$1:$1,0)))</f>
        <v>-3</v>
      </c>
      <c r="L13" s="85" t="str">
        <f>IF(LEN(INDEX(Register!$1:$1048576,MATCH(Calculations!$B13,Register!$A:$A,0),MATCH(Calculations!L$8,Register!$1:$1,0)))=0,"",INDEX(Register!$1:$1048576,MATCH(Calculations!$B13,Register!$A:$A,0),MATCH(Calculations!L$8,Register!$1:$1,0)))</f>
        <v/>
      </c>
      <c r="M13" s="85" t="str">
        <f>IF(LEN(INDEX(Register!$1:$1048576,MATCH(Calculations!$B13,Register!$A:$A,0),MATCH(Calculations!M$8,Register!$1:$1,0)))=0,"",INDEX(Register!$1:$1048576,MATCH(Calculations!$B13,Register!$A:$A,0),MATCH(Calculations!M$8,Register!$1:$1,0)))</f>
        <v/>
      </c>
      <c r="N13" s="85">
        <f>IF(LEN(INDEX(Register!$1:$1048576,MATCH(Calculations!$B13,Register!$A:$A,0),MATCH(Calculations!N$8,Register!$1:$1,0)))=0,"",INDEX(Register!$1:$1048576,MATCH(Calculations!$B13,Register!$A:$A,0),MATCH(Calculations!N$8,Register!$1:$1,0)))</f>
        <v>-2</v>
      </c>
      <c r="O13" s="85">
        <f>IF(LEN(INDEX(Register!$1:$1048576,MATCH(Calculations!$B13,Register!$A:$A,0),MATCH(Calculations!O$8,Register!$1:$1,0)))=0,"",INDEX(Register!$1:$1048576,MATCH(Calculations!$B13,Register!$A:$A,0),MATCH(Calculations!O$8,Register!$1:$1,0)))</f>
        <v>-2</v>
      </c>
      <c r="P13" s="85">
        <f>IF(LEN(INDEX(Register!$1:$1048576,MATCH(Calculations!$B13,Register!$A:$A,0),MATCH(Calculations!P$8,Register!$1:$1,0)))=0,"",INDEX(Register!$1:$1048576,MATCH(Calculations!$B13,Register!$A:$A,0),MATCH(Calculations!P$8,Register!$1:$1,0)))</f>
        <v>-3</v>
      </c>
      <c r="Q13" s="85" t="str">
        <f>IF(LEN(INDEX(Register!$1:$1048576,MATCH(Calculations!$B13,Register!$A:$A,0),MATCH(Calculations!Q$8,Register!$1:$1,0)))=0,"",INDEX(Register!$1:$1048576,MATCH(Calculations!$B13,Register!$A:$A,0),MATCH(Calculations!Q$8,Register!$1:$1,0)))</f>
        <v/>
      </c>
      <c r="R13" s="85" t="str">
        <f>IF(LEN(INDEX(Register!$1:$1048576,MATCH(Calculations!$B13,Register!$A:$A,0),MATCH(Calculations!R$8,Register!$1:$1,0)))=0,"",INDEX(Register!$1:$1048576,MATCH(Calculations!$B13,Register!$A:$A,0),MATCH(Calculations!R$8,Register!$1:$1,0)))</f>
        <v/>
      </c>
      <c r="S13" s="85">
        <f>IF(LEN(INDEX(Register!$1:$1048576,MATCH(Calculations!$B13,Register!$A:$A,0),MATCH(Calculations!S$8,Register!$1:$1,0)))=0,"",INDEX(Register!$1:$1048576,MATCH(Calculations!$B13,Register!$A:$A,0),MATCH(Calculations!S$8,Register!$1:$1,0)))</f>
        <v>-2</v>
      </c>
      <c r="T13" s="85">
        <f>IF(LEN(INDEX(Register!$1:$1048576,MATCH(Calculations!$B13,Register!$A:$A,0),MATCH(Calculations!T$8,Register!$1:$1,0)))=0,"",INDEX(Register!$1:$1048576,MATCH(Calculations!$B13,Register!$A:$A,0),MATCH(Calculations!T$8,Register!$1:$1,0)))</f>
        <v>-2</v>
      </c>
      <c r="U13" s="85">
        <f>IF(LEN(INDEX(Register!$1:$1048576,MATCH(Calculations!$B13,Register!$A:$A,0),MATCH(Calculations!U$8,Register!$1:$1,0)))=0,"",INDEX(Register!$1:$1048576,MATCH(Calculations!$B13,Register!$A:$A,0),MATCH(Calculations!U$8,Register!$1:$1,0)))</f>
        <v>-3</v>
      </c>
      <c r="V13" s="85" t="str">
        <f>IF(LEN(INDEX(Register!$1:$1048576,MATCH(Calculations!$B13,Register!$A:$A,0),MATCH(Calculations!V$8,Register!$1:$1,0)))=0,"",INDEX(Register!$1:$1048576,MATCH(Calculations!$B13,Register!$A:$A,0),MATCH(Calculations!V$8,Register!$1:$1,0)))</f>
        <v/>
      </c>
      <c r="W13" s="85" t="str">
        <f>IF(LEN(INDEX(Register!$1:$1048576,MATCH(Calculations!$B13,Register!$A:$A,0),MATCH(Calculations!W$8,Register!$1:$1,0)))=0,"",INDEX(Register!$1:$1048576,MATCH(Calculations!$B13,Register!$A:$A,0),MATCH(Calculations!W$8,Register!$1:$1,0)))</f>
        <v/>
      </c>
      <c r="X13" s="85">
        <f>IF(LEN(INDEX(Register!$1:$1048576,MATCH(Calculations!$B13,Register!$A:$A,0),MATCH(Calculations!X$8,Register!$1:$1,0)))=0,"",INDEX(Register!$1:$1048576,MATCH(Calculations!$B13,Register!$A:$A,0),MATCH(Calculations!X$8,Register!$1:$1,0)))</f>
        <v>-2</v>
      </c>
      <c r="Y13" s="85">
        <f>IF(LEN(INDEX(Register!$1:$1048576,MATCH(Calculations!$B13,Register!$A:$A,0),MATCH(Calculations!Y$8,Register!$1:$1,0)))=0,"",INDEX(Register!$1:$1048576,MATCH(Calculations!$B13,Register!$A:$A,0),MATCH(Calculations!Y$8,Register!$1:$1,0)))</f>
        <v>-2</v>
      </c>
      <c r="Z13" s="85">
        <f>IF(LEN(INDEX(Register!$1:$1048576,MATCH(Calculations!$B13,Register!$A:$A,0),MATCH(Calculations!Z$8,Register!$1:$1,0)))=0,"",INDEX(Register!$1:$1048576,MATCH(Calculations!$B13,Register!$A:$A,0),MATCH(Calculations!Z$8,Register!$1:$1,0)))</f>
        <v>-3</v>
      </c>
      <c r="AA13" s="85" t="str">
        <f>IF(LEN(INDEX(Register!$1:$1048576,MATCH(Calculations!$B13,Register!$A:$A,0),MATCH(Calculations!AA$8,Register!$1:$1,0)))=0,"",INDEX(Register!$1:$1048576,MATCH(Calculations!$B13,Register!$A:$A,0),MATCH(Calculations!AA$8,Register!$1:$1,0)))</f>
        <v/>
      </c>
      <c r="AB13" s="85" t="str">
        <f>IF(LEN(INDEX(Register!$1:$1048576,MATCH(Calculations!$B13,Register!$A:$A,0),MATCH(Calculations!AB$8,Register!$1:$1,0)))=0,"",INDEX(Register!$1:$1048576,MATCH(Calculations!$B13,Register!$A:$A,0),MATCH(Calculations!AB$8,Register!$1:$1,0)))</f>
        <v/>
      </c>
      <c r="AC13" s="86" t="str">
        <f>INDEX(Register!$1:$1048576,MATCH(Calculations!$B13,Register!$A:$A,0),MATCH(Calculations!AC$8,Register!$1:$1,0))</f>
        <v>Triangular</v>
      </c>
      <c r="AD13" s="86" t="str">
        <f>INDEX(Register!$1:$1048576,MATCH(Calculations!$B13,Register!$A:$A,0),MATCH(Calculations!AD$8,Register!$1:$1,0))</f>
        <v>2 - Low</v>
      </c>
      <c r="AE13" s="86" t="str">
        <f>INDEX(Register!$1:$1048576,MATCH(Calculations!$B13,Register!$A:$A,0),MATCH(Calculations!AE$8,Register!$1:$1,0))</f>
        <v>EG03</v>
      </c>
      <c r="AF13" s="86" t="str">
        <f>INDEX(Register!$1:$1048576,MATCH(Calculations!$B13,Register!$A:$A,0),MATCH(Calculations!AF$8,Register!$1:$1,0))</f>
        <v>Sufficient</v>
      </c>
      <c r="AG13" s="86">
        <f>INDEX(Register!$1:$1048576,MATCH(Calculations!$B13,Register!$A:$A,0),MATCH(Calculations!AG$8,Register!$1:$1,0))</f>
        <v>0</v>
      </c>
      <c r="AH13" s="86">
        <f>INDEX(Register!$1:$1048576,MATCH(Calculations!$B13,Register!$A:$A,0),MATCH(Calculations!AH$8,Register!$1:$1,0))</f>
        <v>0</v>
      </c>
      <c r="AI13" s="86" t="str">
        <f>INDEX(Register!$1:$1048576,MATCH(Calculations!$B13,Register!$A:$A,0),MATCH(Calculations!AI$8,Register!$1:$1,0))</f>
        <v>Matches</v>
      </c>
      <c r="AL13" s="113">
        <f ca="1">INDEX(Inputs!$D$6:$D$12,MATCH(Calculations!$AD13,Inputs!$B$6:$B$12,0))+RAND()*(INDEX(Inputs!$E$6:$E$12,MATCH(Calculations!$AD13,Inputs!$B$6:$B$12,0))-INDEX(Inputs!$D$6:$D$12,MATCH(Calculations!$AD13,Inputs!$B$6:$B$12,0)))</f>
        <v>0.29643783013828201</v>
      </c>
      <c r="AM13" s="113">
        <f ca="1">INDEX(Inputs!$D$6:$D$12,MATCH(Calculations!$AD13,Inputs!$B$6:$B$12,0))+RAND()*(INDEX(Inputs!$E$6:$E$12,MATCH(Calculations!$AD13,Inputs!$B$6:$B$12,0))-INDEX(Inputs!$D$6:$D$12,MATCH(Calculations!$AD13,Inputs!$B$6:$B$12,0)))</f>
        <v>0.36126446449886257</v>
      </c>
      <c r="AN13" s="113">
        <f ca="1">INDEX(Inputs!$D$6:$D$12,MATCH(Calculations!$AD13,Inputs!$B$6:$B$12,0))+RAND()*(INDEX(Inputs!$E$6:$E$12,MATCH(Calculations!$AD13,Inputs!$B$6:$B$12,0))-INDEX(Inputs!$D$6:$D$12,MATCH(Calculations!$AD13,Inputs!$B$6:$B$12,0)))</f>
        <v>0.49684342505744272</v>
      </c>
      <c r="AO13" s="113">
        <f ca="1">INDEX(Inputs!$D$6:$D$12,MATCH(Calculations!$AD13,Inputs!$B$6:$B$12,0))+RAND()*(INDEX(Inputs!$E$6:$E$12,MATCH(Calculations!$AD13,Inputs!$B$6:$B$12,0))-INDEX(Inputs!$D$6:$D$12,MATCH(Calculations!$AD13,Inputs!$B$6:$B$12,0)))</f>
        <v>0.19864204688938952</v>
      </c>
      <c r="AP13" s="113">
        <f ca="1">INDEX(Inputs!$D$6:$D$12,MATCH(Calculations!$AD13,Inputs!$B$6:$B$12,0))+RAND()*(INDEX(Inputs!$E$6:$E$12,MATCH(Calculations!$AD13,Inputs!$B$6:$B$12,0))-INDEX(Inputs!$D$6:$D$12,MATCH(Calculations!$AD13,Inputs!$B$6:$B$12,0)))</f>
        <v>0.47181892792666835</v>
      </c>
      <c r="AQ13" s="24"/>
      <c r="AR13" s="113">
        <f t="shared" ca="1" si="17"/>
        <v>0</v>
      </c>
      <c r="AS13" s="113">
        <f t="shared" ca="1" si="18"/>
        <v>0</v>
      </c>
      <c r="AT13" s="113">
        <f t="shared" ca="1" si="19"/>
        <v>1</v>
      </c>
      <c r="AU13" s="113">
        <f t="shared" ca="1" si="20"/>
        <v>0</v>
      </c>
      <c r="AV13" s="113">
        <f t="shared" ca="1" si="21"/>
        <v>0</v>
      </c>
      <c r="AW13" s="24"/>
      <c r="AX13" s="114">
        <f t="shared" ca="1" si="22"/>
        <v>0</v>
      </c>
      <c r="AY13" s="114">
        <f t="shared" ref="AY13:BB13" ca="1" si="70">IF(OR($AI13="Matches",$AI13="Same Proportion"),AX13,IF(AND($AI13="Stops after non-occurrence",AX13=0),0,AS13))</f>
        <v>0</v>
      </c>
      <c r="AZ13" s="114">
        <f t="shared" ca="1" si="70"/>
        <v>0</v>
      </c>
      <c r="BA13" s="114">
        <f t="shared" ca="1" si="70"/>
        <v>0</v>
      </c>
      <c r="BB13" s="114">
        <f t="shared" ca="1" si="70"/>
        <v>0</v>
      </c>
      <c r="BC13" s="24"/>
      <c r="BD13" s="114">
        <f t="shared" ca="1" si="24"/>
        <v>1</v>
      </c>
      <c r="BE13" s="114">
        <f t="shared" ca="1" si="25"/>
        <v>1</v>
      </c>
      <c r="BF13" s="114">
        <f t="shared" ca="1" si="26"/>
        <v>1</v>
      </c>
      <c r="BG13" s="114">
        <f t="shared" ca="1" si="27"/>
        <v>1</v>
      </c>
      <c r="BH13" s="114">
        <f t="shared" ca="1" si="28"/>
        <v>1</v>
      </c>
      <c r="BI13" s="24"/>
      <c r="BJ13" s="113">
        <f t="shared" ca="1" si="29"/>
        <v>0.93088597500897607</v>
      </c>
      <c r="BK13" s="113">
        <f t="shared" ref="BK13:BN13" ca="1" si="71">IF($AH13="Same Proportion",INDEX(BK:BK,MATCH($AG13,$B:$B,0)),IF($AI13="Same Proportion",BJ13,RAND()))</f>
        <v>0.82146803884480291</v>
      </c>
      <c r="BL13" s="113">
        <f t="shared" ca="1" si="71"/>
        <v>0.11006169135824861</v>
      </c>
      <c r="BM13" s="113">
        <f t="shared" ca="1" si="71"/>
        <v>0.85909548663693491</v>
      </c>
      <c r="BN13" s="113">
        <f t="shared" ca="1" si="71"/>
        <v>0.98319935106197398</v>
      </c>
      <c r="BO13" s="25"/>
      <c r="BP13" s="114">
        <f t="shared" si="31"/>
        <v>-2</v>
      </c>
      <c r="BQ13" s="114">
        <f t="shared" si="32"/>
        <v>-2</v>
      </c>
      <c r="BR13" s="114">
        <f t="shared" si="33"/>
        <v>-2</v>
      </c>
      <c r="BS13" s="114">
        <f t="shared" si="34"/>
        <v>-2</v>
      </c>
      <c r="BT13" s="114">
        <f t="shared" si="35"/>
        <v>-2</v>
      </c>
      <c r="BU13" s="25"/>
      <c r="BV13" s="114">
        <f t="shared" ca="1" si="36"/>
        <v>-2.9308859750089762</v>
      </c>
      <c r="BW13" s="114">
        <f t="shared" ca="1" si="37"/>
        <v>-2.8214680388448028</v>
      </c>
      <c r="BX13" s="114">
        <f t="shared" ca="1" si="38"/>
        <v>-2.1100616913582488</v>
      </c>
      <c r="BY13" s="114">
        <f t="shared" ca="1" si="39"/>
        <v>-2.8590954866369351</v>
      </c>
      <c r="BZ13" s="114">
        <f t="shared" ca="1" si="40"/>
        <v>-2.9831993510619741</v>
      </c>
      <c r="CA13" s="25"/>
      <c r="CB13" s="114">
        <f t="shared" ca="1" si="41"/>
        <v>-3.262895463998571</v>
      </c>
      <c r="CC13" s="114">
        <f t="shared" ca="1" si="42"/>
        <v>-3.4225304263070262</v>
      </c>
      <c r="CD13" s="114">
        <f t="shared" ca="1" si="43"/>
        <v>-3.9433654162845655</v>
      </c>
      <c r="CE13" s="114">
        <f t="shared" ca="1" si="44"/>
        <v>-3.3753724994762737</v>
      </c>
      <c r="CF13" s="114">
        <f t="shared" ca="1" si="45"/>
        <v>-3.1296173172767667</v>
      </c>
      <c r="CG13" s="25"/>
      <c r="CH13" s="114">
        <f t="shared" si="46"/>
        <v>0</v>
      </c>
      <c r="CI13" s="114">
        <f t="shared" si="47"/>
        <v>0</v>
      </c>
      <c r="CJ13" s="114">
        <f t="shared" si="48"/>
        <v>0</v>
      </c>
      <c r="CK13" s="114">
        <f t="shared" si="49"/>
        <v>0</v>
      </c>
      <c r="CL13" s="114">
        <f t="shared" si="50"/>
        <v>0</v>
      </c>
      <c r="CM13" s="25"/>
      <c r="CN13" s="114">
        <f t="shared" si="51"/>
        <v>0</v>
      </c>
      <c r="CO13" s="114">
        <f t="shared" si="52"/>
        <v>0</v>
      </c>
      <c r="CP13" s="114">
        <f t="shared" si="53"/>
        <v>0</v>
      </c>
      <c r="CQ13" s="114">
        <f t="shared" si="54"/>
        <v>0</v>
      </c>
      <c r="CR13" s="114">
        <f t="shared" si="55"/>
        <v>0</v>
      </c>
      <c r="CS13" s="25"/>
      <c r="CT13" s="114">
        <f t="shared" ca="1" si="56"/>
        <v>-3.262895463998571</v>
      </c>
      <c r="CU13" s="114">
        <f t="shared" ca="1" si="57"/>
        <v>-3.4225304263070262</v>
      </c>
      <c r="CV13" s="114">
        <f t="shared" ca="1" si="58"/>
        <v>-3.9433654162845655</v>
      </c>
      <c r="CW13" s="114">
        <f t="shared" ca="1" si="59"/>
        <v>-3.3753724994762737</v>
      </c>
      <c r="CX13" s="114">
        <f t="shared" ca="1" si="60"/>
        <v>-3.1296173172767667</v>
      </c>
      <c r="CY13" s="24"/>
      <c r="CZ13" s="114">
        <f t="shared" ca="1" si="61"/>
        <v>-3.262895463998571</v>
      </c>
      <c r="DA13" s="114">
        <f t="shared" ca="1" si="62"/>
        <v>-3.4225304263070262</v>
      </c>
      <c r="DB13" s="114">
        <f t="shared" ca="1" si="63"/>
        <v>-3.9433654162845655</v>
      </c>
      <c r="DC13" s="114">
        <f t="shared" ca="1" si="64"/>
        <v>-3.3753724994762737</v>
      </c>
      <c r="DD13" s="114">
        <f t="shared" ca="1" si="65"/>
        <v>-3.1296173172767667</v>
      </c>
    </row>
    <row r="14" spans="1:116" x14ac:dyDescent="0.25">
      <c r="B14" s="86" t="s">
        <v>370</v>
      </c>
      <c r="C14" s="86" t="str">
        <f>INDEX(Register!$1:$1048576,MATCH(Calculations!$B14,Register!$A:$A,0),MATCH(Calculations!C$8,Register!$1:$1,0))</f>
        <v>Additional pressure</v>
      </c>
      <c r="D14" s="85">
        <f>IF(LEN(INDEX(Register!$1:$1048576,MATCH(Calculations!$B14,Register!$A:$A,0),MATCH(Calculations!D$8,Register!$1:$1,0)))=0,"",INDEX(Register!$1:$1048576,MATCH(Calculations!$B14,Register!$A:$A,0),MATCH(Calculations!D$8,Register!$1:$1,0)))</f>
        <v>0</v>
      </c>
      <c r="E14" s="85">
        <f>IF(LEN(INDEX(Register!$1:$1048576,MATCH(Calculations!$B14,Register!$A:$A,0),MATCH(Calculations!E$8,Register!$1:$1,0)))=0,"",INDEX(Register!$1:$1048576,MATCH(Calculations!$B14,Register!$A:$A,0),MATCH(Calculations!E$8,Register!$1:$1,0)))</f>
        <v>0</v>
      </c>
      <c r="F14" s="85">
        <f>IF(LEN(INDEX(Register!$1:$1048576,MATCH(Calculations!$B14,Register!$A:$A,0),MATCH(Calculations!F$8,Register!$1:$1,0)))=0,"",INDEX(Register!$1:$1048576,MATCH(Calculations!$B14,Register!$A:$A,0),MATCH(Calculations!F$8,Register!$1:$1,0)))</f>
        <v>2</v>
      </c>
      <c r="G14" s="85" t="str">
        <f>IF(LEN(INDEX(Register!$1:$1048576,MATCH(Calculations!$B14,Register!$A:$A,0),MATCH(Calculations!G$8,Register!$1:$1,0)))=0,"",INDEX(Register!$1:$1048576,MATCH(Calculations!$B14,Register!$A:$A,0),MATCH(Calculations!G$8,Register!$1:$1,0)))</f>
        <v/>
      </c>
      <c r="H14" s="85" t="str">
        <f>IF(LEN(INDEX(Register!$1:$1048576,MATCH(Calculations!$B14,Register!$A:$A,0),MATCH(Calculations!H$8,Register!$1:$1,0)))=0,"",INDEX(Register!$1:$1048576,MATCH(Calculations!$B14,Register!$A:$A,0),MATCH(Calculations!H$8,Register!$1:$1,0)))</f>
        <v/>
      </c>
      <c r="I14" s="85">
        <f>IF(LEN(INDEX(Register!$1:$1048576,MATCH(Calculations!$B14,Register!$A:$A,0),MATCH(Calculations!I$8,Register!$1:$1,0)))=0,"",INDEX(Register!$1:$1048576,MATCH(Calculations!$B14,Register!$A:$A,0),MATCH(Calculations!I$8,Register!$1:$1,0)))</f>
        <v>0</v>
      </c>
      <c r="J14" s="85">
        <f>IF(LEN(INDEX(Register!$1:$1048576,MATCH(Calculations!$B14,Register!$A:$A,0),MATCH(Calculations!J$8,Register!$1:$1,0)))=0,"",INDEX(Register!$1:$1048576,MATCH(Calculations!$B14,Register!$A:$A,0),MATCH(Calculations!J$8,Register!$1:$1,0)))</f>
        <v>0</v>
      </c>
      <c r="K14" s="85">
        <f>IF(LEN(INDEX(Register!$1:$1048576,MATCH(Calculations!$B14,Register!$A:$A,0),MATCH(Calculations!K$8,Register!$1:$1,0)))=0,"",INDEX(Register!$1:$1048576,MATCH(Calculations!$B14,Register!$A:$A,0),MATCH(Calculations!K$8,Register!$1:$1,0)))</f>
        <v>4</v>
      </c>
      <c r="L14" s="85" t="str">
        <f>IF(LEN(INDEX(Register!$1:$1048576,MATCH(Calculations!$B14,Register!$A:$A,0),MATCH(Calculations!L$8,Register!$1:$1,0)))=0,"",INDEX(Register!$1:$1048576,MATCH(Calculations!$B14,Register!$A:$A,0),MATCH(Calculations!L$8,Register!$1:$1,0)))</f>
        <v/>
      </c>
      <c r="M14" s="85" t="str">
        <f>IF(LEN(INDEX(Register!$1:$1048576,MATCH(Calculations!$B14,Register!$A:$A,0),MATCH(Calculations!M$8,Register!$1:$1,0)))=0,"",INDEX(Register!$1:$1048576,MATCH(Calculations!$B14,Register!$A:$A,0),MATCH(Calculations!M$8,Register!$1:$1,0)))</f>
        <v/>
      </c>
      <c r="N14" s="85">
        <f>IF(LEN(INDEX(Register!$1:$1048576,MATCH(Calculations!$B14,Register!$A:$A,0),MATCH(Calculations!N$8,Register!$1:$1,0)))=0,"",INDEX(Register!$1:$1048576,MATCH(Calculations!$B14,Register!$A:$A,0),MATCH(Calculations!N$8,Register!$1:$1,0)))</f>
        <v>0</v>
      </c>
      <c r="O14" s="85">
        <f>IF(LEN(INDEX(Register!$1:$1048576,MATCH(Calculations!$B14,Register!$A:$A,0),MATCH(Calculations!O$8,Register!$1:$1,0)))=0,"",INDEX(Register!$1:$1048576,MATCH(Calculations!$B14,Register!$A:$A,0),MATCH(Calculations!O$8,Register!$1:$1,0)))</f>
        <v>0</v>
      </c>
      <c r="P14" s="85">
        <f>IF(LEN(INDEX(Register!$1:$1048576,MATCH(Calculations!$B14,Register!$A:$A,0),MATCH(Calculations!P$8,Register!$1:$1,0)))=0,"",INDEX(Register!$1:$1048576,MATCH(Calculations!$B14,Register!$A:$A,0),MATCH(Calculations!P$8,Register!$1:$1,0)))</f>
        <v>6</v>
      </c>
      <c r="Q14" s="85" t="str">
        <f>IF(LEN(INDEX(Register!$1:$1048576,MATCH(Calculations!$B14,Register!$A:$A,0),MATCH(Calculations!Q$8,Register!$1:$1,0)))=0,"",INDEX(Register!$1:$1048576,MATCH(Calculations!$B14,Register!$A:$A,0),MATCH(Calculations!Q$8,Register!$1:$1,0)))</f>
        <v/>
      </c>
      <c r="R14" s="85" t="str">
        <f>IF(LEN(INDEX(Register!$1:$1048576,MATCH(Calculations!$B14,Register!$A:$A,0),MATCH(Calculations!R$8,Register!$1:$1,0)))=0,"",INDEX(Register!$1:$1048576,MATCH(Calculations!$B14,Register!$A:$A,0),MATCH(Calculations!R$8,Register!$1:$1,0)))</f>
        <v/>
      </c>
      <c r="S14" s="85">
        <f>IF(LEN(INDEX(Register!$1:$1048576,MATCH(Calculations!$B14,Register!$A:$A,0),MATCH(Calculations!S$8,Register!$1:$1,0)))=0,"",INDEX(Register!$1:$1048576,MATCH(Calculations!$B14,Register!$A:$A,0),MATCH(Calculations!S$8,Register!$1:$1,0)))</f>
        <v>0</v>
      </c>
      <c r="T14" s="85">
        <f>IF(LEN(INDEX(Register!$1:$1048576,MATCH(Calculations!$B14,Register!$A:$A,0),MATCH(Calculations!T$8,Register!$1:$1,0)))=0,"",INDEX(Register!$1:$1048576,MATCH(Calculations!$B14,Register!$A:$A,0),MATCH(Calculations!T$8,Register!$1:$1,0)))</f>
        <v>0</v>
      </c>
      <c r="U14" s="85">
        <f>IF(LEN(INDEX(Register!$1:$1048576,MATCH(Calculations!$B14,Register!$A:$A,0),MATCH(Calculations!U$8,Register!$1:$1,0)))=0,"",INDEX(Register!$1:$1048576,MATCH(Calculations!$B14,Register!$A:$A,0),MATCH(Calculations!U$8,Register!$1:$1,0)))</f>
        <v>8</v>
      </c>
      <c r="V14" s="85" t="str">
        <f>IF(LEN(INDEX(Register!$1:$1048576,MATCH(Calculations!$B14,Register!$A:$A,0),MATCH(Calculations!V$8,Register!$1:$1,0)))=0,"",INDEX(Register!$1:$1048576,MATCH(Calculations!$B14,Register!$A:$A,0),MATCH(Calculations!V$8,Register!$1:$1,0)))</f>
        <v/>
      </c>
      <c r="W14" s="85" t="str">
        <f>IF(LEN(INDEX(Register!$1:$1048576,MATCH(Calculations!$B14,Register!$A:$A,0),MATCH(Calculations!W$8,Register!$1:$1,0)))=0,"",INDEX(Register!$1:$1048576,MATCH(Calculations!$B14,Register!$A:$A,0),MATCH(Calculations!W$8,Register!$1:$1,0)))</f>
        <v/>
      </c>
      <c r="X14" s="85">
        <f>IF(LEN(INDEX(Register!$1:$1048576,MATCH(Calculations!$B14,Register!$A:$A,0),MATCH(Calculations!X$8,Register!$1:$1,0)))=0,"",INDEX(Register!$1:$1048576,MATCH(Calculations!$B14,Register!$A:$A,0),MATCH(Calculations!X$8,Register!$1:$1,0)))</f>
        <v>0</v>
      </c>
      <c r="Y14" s="85">
        <f>IF(LEN(INDEX(Register!$1:$1048576,MATCH(Calculations!$B14,Register!$A:$A,0),MATCH(Calculations!Y$8,Register!$1:$1,0)))=0,"",INDEX(Register!$1:$1048576,MATCH(Calculations!$B14,Register!$A:$A,0),MATCH(Calculations!Y$8,Register!$1:$1,0)))</f>
        <v>0</v>
      </c>
      <c r="Z14" s="85">
        <f>IF(LEN(INDEX(Register!$1:$1048576,MATCH(Calculations!$B14,Register!$A:$A,0),MATCH(Calculations!Z$8,Register!$1:$1,0)))=0,"",INDEX(Register!$1:$1048576,MATCH(Calculations!$B14,Register!$A:$A,0),MATCH(Calculations!Z$8,Register!$1:$1,0)))</f>
        <v>10</v>
      </c>
      <c r="AA14" s="85" t="str">
        <f>IF(LEN(INDEX(Register!$1:$1048576,MATCH(Calculations!$B14,Register!$A:$A,0),MATCH(Calculations!AA$8,Register!$1:$1,0)))=0,"",INDEX(Register!$1:$1048576,MATCH(Calculations!$B14,Register!$A:$A,0),MATCH(Calculations!AA$8,Register!$1:$1,0)))</f>
        <v/>
      </c>
      <c r="AB14" s="85" t="str">
        <f>IF(LEN(INDEX(Register!$1:$1048576,MATCH(Calculations!$B14,Register!$A:$A,0),MATCH(Calculations!AB$8,Register!$1:$1,0)))=0,"",INDEX(Register!$1:$1048576,MATCH(Calculations!$B14,Register!$A:$A,0),MATCH(Calculations!AB$8,Register!$1:$1,0)))</f>
        <v/>
      </c>
      <c r="AC14" s="86" t="str">
        <f>INDEX(Register!$1:$1048576,MATCH(Calculations!$B14,Register!$A:$A,0),MATCH(Calculations!AC$8,Register!$1:$1,0))</f>
        <v>Triangular</v>
      </c>
      <c r="AD14" s="86" t="str">
        <f>INDEX(Register!$1:$1048576,MATCH(Calculations!$B14,Register!$A:$A,0),MATCH(Calculations!AD$8,Register!$1:$1,0))</f>
        <v>4 - High</v>
      </c>
      <c r="AE14" s="86">
        <f>INDEX(Register!$1:$1048576,MATCH(Calculations!$B14,Register!$A:$A,0),MATCH(Calculations!AE$8,Register!$1:$1,0))</f>
        <v>0</v>
      </c>
      <c r="AF14" s="86">
        <f>INDEX(Register!$1:$1048576,MATCH(Calculations!$B14,Register!$A:$A,0),MATCH(Calculations!AF$8,Register!$1:$1,0))</f>
        <v>0</v>
      </c>
      <c r="AG14" s="86">
        <f>INDEX(Register!$1:$1048576,MATCH(Calculations!$B14,Register!$A:$A,0),MATCH(Calculations!AG$8,Register!$1:$1,0))</f>
        <v>0</v>
      </c>
      <c r="AH14" s="86">
        <f>INDEX(Register!$1:$1048576,MATCH(Calculations!$B14,Register!$A:$A,0),MATCH(Calculations!AH$8,Register!$1:$1,0))</f>
        <v>0</v>
      </c>
      <c r="AI14" s="86" t="str">
        <f>INDEX(Register!$1:$1048576,MATCH(Calculations!$B14,Register!$A:$A,0),MATCH(Calculations!AI$8,Register!$1:$1,0))</f>
        <v>Matches</v>
      </c>
      <c r="AL14" s="113">
        <f ca="1">INDEX(Inputs!$D$6:$D$12,MATCH(Calculations!$AD14,Inputs!$B$6:$B$12,0))+RAND()*(INDEX(Inputs!$E$6:$E$12,MATCH(Calculations!$AD14,Inputs!$B$6:$B$12,0))-INDEX(Inputs!$D$6:$D$12,MATCH(Calculations!$AD14,Inputs!$B$6:$B$12,0)))</f>
        <v>0.7991955432668032</v>
      </c>
      <c r="AM14" s="113">
        <f ca="1">INDEX(Inputs!$D$6:$D$12,MATCH(Calculations!$AD14,Inputs!$B$6:$B$12,0))+RAND()*(INDEX(Inputs!$E$6:$E$12,MATCH(Calculations!$AD14,Inputs!$B$6:$B$12,0))-INDEX(Inputs!$D$6:$D$12,MATCH(Calculations!$AD14,Inputs!$B$6:$B$12,0)))</f>
        <v>0.53627065957431619</v>
      </c>
      <c r="AN14" s="113">
        <f ca="1">INDEX(Inputs!$D$6:$D$12,MATCH(Calculations!$AD14,Inputs!$B$6:$B$12,0))+RAND()*(INDEX(Inputs!$E$6:$E$12,MATCH(Calculations!$AD14,Inputs!$B$6:$B$12,0))-INDEX(Inputs!$D$6:$D$12,MATCH(Calculations!$AD14,Inputs!$B$6:$B$12,0)))</f>
        <v>0.64280754398277828</v>
      </c>
      <c r="AO14" s="113">
        <f ca="1">INDEX(Inputs!$D$6:$D$12,MATCH(Calculations!$AD14,Inputs!$B$6:$B$12,0))+RAND()*(INDEX(Inputs!$E$6:$E$12,MATCH(Calculations!$AD14,Inputs!$B$6:$B$12,0))-INDEX(Inputs!$D$6:$D$12,MATCH(Calculations!$AD14,Inputs!$B$6:$B$12,0)))</f>
        <v>0.63985920704511212</v>
      </c>
      <c r="AP14" s="113">
        <f ca="1">INDEX(Inputs!$D$6:$D$12,MATCH(Calculations!$AD14,Inputs!$B$6:$B$12,0))+RAND()*(INDEX(Inputs!$E$6:$E$12,MATCH(Calculations!$AD14,Inputs!$B$6:$B$12,0))-INDEX(Inputs!$D$6:$D$12,MATCH(Calculations!$AD14,Inputs!$B$6:$B$12,0)))</f>
        <v>0.78457217472750895</v>
      </c>
      <c r="AQ14" s="24"/>
      <c r="AR14" s="113">
        <f t="shared" ca="1" si="17"/>
        <v>1</v>
      </c>
      <c r="AS14" s="113">
        <f t="shared" ca="1" si="18"/>
        <v>0</v>
      </c>
      <c r="AT14" s="113">
        <f t="shared" ca="1" si="19"/>
        <v>1</v>
      </c>
      <c r="AU14" s="113">
        <f t="shared" ca="1" si="20"/>
        <v>1</v>
      </c>
      <c r="AV14" s="113">
        <f t="shared" ca="1" si="21"/>
        <v>1</v>
      </c>
      <c r="AW14" s="24"/>
      <c r="AX14" s="114">
        <f t="shared" ca="1" si="22"/>
        <v>1</v>
      </c>
      <c r="AY14" s="114">
        <f t="shared" ref="AY14:BB14" ca="1" si="72">IF(OR($AI14="Matches",$AI14="Same Proportion"),AX14,IF(AND($AI14="Stops after non-occurrence",AX14=0),0,AS14))</f>
        <v>1</v>
      </c>
      <c r="AZ14" s="114">
        <f t="shared" ca="1" si="72"/>
        <v>1</v>
      </c>
      <c r="BA14" s="114">
        <f t="shared" ca="1" si="72"/>
        <v>1</v>
      </c>
      <c r="BB14" s="114">
        <f t="shared" ca="1" si="72"/>
        <v>1</v>
      </c>
      <c r="BC14" s="24"/>
      <c r="BD14" s="114">
        <f t="shared" ca="1" si="24"/>
        <v>1</v>
      </c>
      <c r="BE14" s="114">
        <f t="shared" ca="1" si="25"/>
        <v>1</v>
      </c>
      <c r="BF14" s="114">
        <f t="shared" ca="1" si="26"/>
        <v>1</v>
      </c>
      <c r="BG14" s="114">
        <f t="shared" ca="1" si="27"/>
        <v>1</v>
      </c>
      <c r="BH14" s="114">
        <f t="shared" ca="1" si="28"/>
        <v>1</v>
      </c>
      <c r="BI14" s="24"/>
      <c r="BJ14" s="113">
        <f t="shared" ca="1" si="29"/>
        <v>0.38145453093939996</v>
      </c>
      <c r="BK14" s="113">
        <f t="shared" ref="BK14:BN14" ca="1" si="73">IF($AH14="Same Proportion",INDEX(BK:BK,MATCH($AG14,$B:$B,0)),IF($AI14="Same Proportion",BJ14,RAND()))</f>
        <v>0.68507913363882067</v>
      </c>
      <c r="BL14" s="113">
        <f t="shared" ca="1" si="73"/>
        <v>0.40237618576845369</v>
      </c>
      <c r="BM14" s="113">
        <f t="shared" ca="1" si="73"/>
        <v>0.37695293608205005</v>
      </c>
      <c r="BN14" s="113">
        <f t="shared" ca="1" si="73"/>
        <v>0.35386649937793491</v>
      </c>
      <c r="BO14" s="25"/>
      <c r="BP14" s="114">
        <f t="shared" si="31"/>
        <v>0</v>
      </c>
      <c r="BQ14" s="114">
        <f t="shared" si="32"/>
        <v>0</v>
      </c>
      <c r="BR14" s="114">
        <f t="shared" si="33"/>
        <v>0</v>
      </c>
      <c r="BS14" s="114">
        <f t="shared" si="34"/>
        <v>0</v>
      </c>
      <c r="BT14" s="114">
        <f t="shared" si="35"/>
        <v>0</v>
      </c>
      <c r="BU14" s="25"/>
      <c r="BV14" s="114">
        <f t="shared" ca="1" si="36"/>
        <v>0.76290906187879992</v>
      </c>
      <c r="BW14" s="114">
        <f t="shared" ca="1" si="37"/>
        <v>2.7403165345552827</v>
      </c>
      <c r="BX14" s="114">
        <f t="shared" ca="1" si="38"/>
        <v>2.4142571146107219</v>
      </c>
      <c r="BY14" s="114">
        <f t="shared" ca="1" si="39"/>
        <v>3.0156234886564004</v>
      </c>
      <c r="BZ14" s="114">
        <f t="shared" ca="1" si="40"/>
        <v>3.5386649937793493</v>
      </c>
      <c r="CA14" s="25"/>
      <c r="CB14" s="114">
        <f t="shared" ca="1" si="41"/>
        <v>0.42704676603453962</v>
      </c>
      <c r="CC14" s="114">
        <f t="shared" ca="1" si="42"/>
        <v>1.7552875770426919</v>
      </c>
      <c r="CD14" s="114">
        <f t="shared" ca="1" si="43"/>
        <v>1.3616320421579671</v>
      </c>
      <c r="CE14" s="114">
        <f t="shared" ca="1" si="44"/>
        <v>1.6853335724878704</v>
      </c>
      <c r="CF14" s="114">
        <f t="shared" ca="1" si="45"/>
        <v>1.9617570289144339</v>
      </c>
      <c r="CG14" s="25"/>
      <c r="CH14" s="114">
        <f t="shared" si="46"/>
        <v>0</v>
      </c>
      <c r="CI14" s="114">
        <f t="shared" si="47"/>
        <v>0</v>
      </c>
      <c r="CJ14" s="114">
        <f t="shared" si="48"/>
        <v>0</v>
      </c>
      <c r="CK14" s="114">
        <f t="shared" si="49"/>
        <v>0</v>
      </c>
      <c r="CL14" s="114">
        <f t="shared" si="50"/>
        <v>0</v>
      </c>
      <c r="CM14" s="25"/>
      <c r="CN14" s="114">
        <f t="shared" si="51"/>
        <v>0</v>
      </c>
      <c r="CO14" s="114">
        <f t="shared" si="52"/>
        <v>0</v>
      </c>
      <c r="CP14" s="114">
        <f t="shared" si="53"/>
        <v>0</v>
      </c>
      <c r="CQ14" s="114">
        <f t="shared" si="54"/>
        <v>0</v>
      </c>
      <c r="CR14" s="114">
        <f t="shared" si="55"/>
        <v>0</v>
      </c>
      <c r="CS14" s="25"/>
      <c r="CT14" s="114">
        <f t="shared" ca="1" si="56"/>
        <v>0.42704676603453962</v>
      </c>
      <c r="CU14" s="114">
        <f t="shared" ca="1" si="57"/>
        <v>1.7552875770426919</v>
      </c>
      <c r="CV14" s="114">
        <f t="shared" ca="1" si="58"/>
        <v>1.3616320421579671</v>
      </c>
      <c r="CW14" s="114">
        <f t="shared" ca="1" si="59"/>
        <v>1.6853335724878704</v>
      </c>
      <c r="CX14" s="114">
        <f t="shared" ca="1" si="60"/>
        <v>1.9617570289144339</v>
      </c>
      <c r="CY14" s="24"/>
      <c r="CZ14" s="114">
        <f t="shared" ca="1" si="61"/>
        <v>0.42704676603453962</v>
      </c>
      <c r="DA14" s="114">
        <f t="shared" ca="1" si="62"/>
        <v>1.7552875770426919</v>
      </c>
      <c r="DB14" s="114">
        <f t="shared" ca="1" si="63"/>
        <v>1.3616320421579671</v>
      </c>
      <c r="DC14" s="114">
        <f t="shared" ca="1" si="64"/>
        <v>1.6853335724878704</v>
      </c>
      <c r="DD14" s="114">
        <f t="shared" ca="1" si="65"/>
        <v>1.9617570289144339</v>
      </c>
    </row>
    <row r="15" spans="1:116" x14ac:dyDescent="0.25">
      <c r="B15" s="86" t="s">
        <v>392</v>
      </c>
      <c r="C15" s="86" t="str">
        <f>INDEX(Register!$1:$1048576,MATCH(Calculations!$B15,Register!$A:$A,0),MATCH(Calculations!C$8,Register!$1:$1,0))</f>
        <v>High value events</v>
      </c>
      <c r="D15" s="85">
        <f>IF(LEN(INDEX(Register!$1:$1048576,MATCH(Calculations!$B15,Register!$A:$A,0),MATCH(Calculations!D$8,Register!$1:$1,0)))=0,"",INDEX(Register!$1:$1048576,MATCH(Calculations!$B15,Register!$A:$A,0),MATCH(Calculations!D$8,Register!$1:$1,0)))</f>
        <v>5</v>
      </c>
      <c r="E15" s="85" t="str">
        <f>IF(LEN(INDEX(Register!$1:$1048576,MATCH(Calculations!$B15,Register!$A:$A,0),MATCH(Calculations!E$8,Register!$1:$1,0)))=0,"",INDEX(Register!$1:$1048576,MATCH(Calculations!$B15,Register!$A:$A,0),MATCH(Calculations!E$8,Register!$1:$1,0)))</f>
        <v/>
      </c>
      <c r="F15" s="85" t="str">
        <f>IF(LEN(INDEX(Register!$1:$1048576,MATCH(Calculations!$B15,Register!$A:$A,0),MATCH(Calculations!F$8,Register!$1:$1,0)))=0,"",INDEX(Register!$1:$1048576,MATCH(Calculations!$B15,Register!$A:$A,0),MATCH(Calculations!F$8,Register!$1:$1,0)))</f>
        <v/>
      </c>
      <c r="G15" s="85" t="str">
        <f>IF(LEN(INDEX(Register!$1:$1048576,MATCH(Calculations!$B15,Register!$A:$A,0),MATCH(Calculations!G$8,Register!$1:$1,0)))=0,"",INDEX(Register!$1:$1048576,MATCH(Calculations!$B15,Register!$A:$A,0),MATCH(Calculations!G$8,Register!$1:$1,0)))</f>
        <v/>
      </c>
      <c r="H15" s="85">
        <f>IF(LEN(INDEX(Register!$1:$1048576,MATCH(Calculations!$B15,Register!$A:$A,0),MATCH(Calculations!H$8,Register!$1:$1,0)))=0,"",INDEX(Register!$1:$1048576,MATCH(Calculations!$B15,Register!$A:$A,0),MATCH(Calculations!H$8,Register!$1:$1,0)))</f>
        <v>0.5</v>
      </c>
      <c r="I15" s="85">
        <f>IF(LEN(INDEX(Register!$1:$1048576,MATCH(Calculations!$B15,Register!$A:$A,0),MATCH(Calculations!I$8,Register!$1:$1,0)))=0,"",INDEX(Register!$1:$1048576,MATCH(Calculations!$B15,Register!$A:$A,0),MATCH(Calculations!I$8,Register!$1:$1,0)))</f>
        <v>5</v>
      </c>
      <c r="J15" s="85" t="str">
        <f>IF(LEN(INDEX(Register!$1:$1048576,MATCH(Calculations!$B15,Register!$A:$A,0),MATCH(Calculations!J$8,Register!$1:$1,0)))=0,"",INDEX(Register!$1:$1048576,MATCH(Calculations!$B15,Register!$A:$A,0),MATCH(Calculations!J$8,Register!$1:$1,0)))</f>
        <v/>
      </c>
      <c r="K15" s="85" t="str">
        <f>IF(LEN(INDEX(Register!$1:$1048576,MATCH(Calculations!$B15,Register!$A:$A,0),MATCH(Calculations!K$8,Register!$1:$1,0)))=0,"",INDEX(Register!$1:$1048576,MATCH(Calculations!$B15,Register!$A:$A,0),MATCH(Calculations!K$8,Register!$1:$1,0)))</f>
        <v/>
      </c>
      <c r="L15" s="85" t="str">
        <f>IF(LEN(INDEX(Register!$1:$1048576,MATCH(Calculations!$B15,Register!$A:$A,0),MATCH(Calculations!L$8,Register!$1:$1,0)))=0,"",INDEX(Register!$1:$1048576,MATCH(Calculations!$B15,Register!$A:$A,0),MATCH(Calculations!L$8,Register!$1:$1,0)))</f>
        <v/>
      </c>
      <c r="M15" s="85">
        <f>IF(LEN(INDEX(Register!$1:$1048576,MATCH(Calculations!$B15,Register!$A:$A,0),MATCH(Calculations!M$8,Register!$1:$1,0)))=0,"",INDEX(Register!$1:$1048576,MATCH(Calculations!$B15,Register!$A:$A,0),MATCH(Calculations!M$8,Register!$1:$1,0)))</f>
        <v>0.5</v>
      </c>
      <c r="N15" s="85">
        <f>IF(LEN(INDEX(Register!$1:$1048576,MATCH(Calculations!$B15,Register!$A:$A,0),MATCH(Calculations!N$8,Register!$1:$1,0)))=0,"",INDEX(Register!$1:$1048576,MATCH(Calculations!$B15,Register!$A:$A,0),MATCH(Calculations!N$8,Register!$1:$1,0)))</f>
        <v>5</v>
      </c>
      <c r="O15" s="85" t="str">
        <f>IF(LEN(INDEX(Register!$1:$1048576,MATCH(Calculations!$B15,Register!$A:$A,0),MATCH(Calculations!O$8,Register!$1:$1,0)))=0,"",INDEX(Register!$1:$1048576,MATCH(Calculations!$B15,Register!$A:$A,0),MATCH(Calculations!O$8,Register!$1:$1,0)))</f>
        <v/>
      </c>
      <c r="P15" s="85" t="str">
        <f>IF(LEN(INDEX(Register!$1:$1048576,MATCH(Calculations!$B15,Register!$A:$A,0),MATCH(Calculations!P$8,Register!$1:$1,0)))=0,"",INDEX(Register!$1:$1048576,MATCH(Calculations!$B15,Register!$A:$A,0),MATCH(Calculations!P$8,Register!$1:$1,0)))</f>
        <v/>
      </c>
      <c r="Q15" s="85" t="str">
        <f>IF(LEN(INDEX(Register!$1:$1048576,MATCH(Calculations!$B15,Register!$A:$A,0),MATCH(Calculations!Q$8,Register!$1:$1,0)))=0,"",INDEX(Register!$1:$1048576,MATCH(Calculations!$B15,Register!$A:$A,0),MATCH(Calculations!Q$8,Register!$1:$1,0)))</f>
        <v/>
      </c>
      <c r="R15" s="85">
        <f>IF(LEN(INDEX(Register!$1:$1048576,MATCH(Calculations!$B15,Register!$A:$A,0),MATCH(Calculations!R$8,Register!$1:$1,0)))=0,"",INDEX(Register!$1:$1048576,MATCH(Calculations!$B15,Register!$A:$A,0),MATCH(Calculations!R$8,Register!$1:$1,0)))</f>
        <v>0.5</v>
      </c>
      <c r="S15" s="85">
        <f>IF(LEN(INDEX(Register!$1:$1048576,MATCH(Calculations!$B15,Register!$A:$A,0),MATCH(Calculations!S$8,Register!$1:$1,0)))=0,"",INDEX(Register!$1:$1048576,MATCH(Calculations!$B15,Register!$A:$A,0),MATCH(Calculations!S$8,Register!$1:$1,0)))</f>
        <v>5</v>
      </c>
      <c r="T15" s="85" t="str">
        <f>IF(LEN(INDEX(Register!$1:$1048576,MATCH(Calculations!$B15,Register!$A:$A,0),MATCH(Calculations!T$8,Register!$1:$1,0)))=0,"",INDEX(Register!$1:$1048576,MATCH(Calculations!$B15,Register!$A:$A,0),MATCH(Calculations!T$8,Register!$1:$1,0)))</f>
        <v/>
      </c>
      <c r="U15" s="85" t="str">
        <f>IF(LEN(INDEX(Register!$1:$1048576,MATCH(Calculations!$B15,Register!$A:$A,0),MATCH(Calculations!U$8,Register!$1:$1,0)))=0,"",INDEX(Register!$1:$1048576,MATCH(Calculations!$B15,Register!$A:$A,0),MATCH(Calculations!U$8,Register!$1:$1,0)))</f>
        <v/>
      </c>
      <c r="V15" s="85" t="str">
        <f>IF(LEN(INDEX(Register!$1:$1048576,MATCH(Calculations!$B15,Register!$A:$A,0),MATCH(Calculations!V$8,Register!$1:$1,0)))=0,"",INDEX(Register!$1:$1048576,MATCH(Calculations!$B15,Register!$A:$A,0),MATCH(Calculations!V$8,Register!$1:$1,0)))</f>
        <v/>
      </c>
      <c r="W15" s="85">
        <f>IF(LEN(INDEX(Register!$1:$1048576,MATCH(Calculations!$B15,Register!$A:$A,0),MATCH(Calculations!W$8,Register!$1:$1,0)))=0,"",INDEX(Register!$1:$1048576,MATCH(Calculations!$B15,Register!$A:$A,0),MATCH(Calculations!W$8,Register!$1:$1,0)))</f>
        <v>0.5</v>
      </c>
      <c r="X15" s="85">
        <f>IF(LEN(INDEX(Register!$1:$1048576,MATCH(Calculations!$B15,Register!$A:$A,0),MATCH(Calculations!X$8,Register!$1:$1,0)))=0,"",INDEX(Register!$1:$1048576,MATCH(Calculations!$B15,Register!$A:$A,0),MATCH(Calculations!X$8,Register!$1:$1,0)))</f>
        <v>5</v>
      </c>
      <c r="Y15" s="85" t="str">
        <f>IF(LEN(INDEX(Register!$1:$1048576,MATCH(Calculations!$B15,Register!$A:$A,0),MATCH(Calculations!Y$8,Register!$1:$1,0)))=0,"",INDEX(Register!$1:$1048576,MATCH(Calculations!$B15,Register!$A:$A,0),MATCH(Calculations!Y$8,Register!$1:$1,0)))</f>
        <v/>
      </c>
      <c r="Z15" s="85" t="str">
        <f>IF(LEN(INDEX(Register!$1:$1048576,MATCH(Calculations!$B15,Register!$A:$A,0),MATCH(Calculations!Z$8,Register!$1:$1,0)))=0,"",INDEX(Register!$1:$1048576,MATCH(Calculations!$B15,Register!$A:$A,0),MATCH(Calculations!Z$8,Register!$1:$1,0)))</f>
        <v/>
      </c>
      <c r="AA15" s="85" t="str">
        <f>IF(LEN(INDEX(Register!$1:$1048576,MATCH(Calculations!$B15,Register!$A:$A,0),MATCH(Calculations!AA$8,Register!$1:$1,0)))=0,"",INDEX(Register!$1:$1048576,MATCH(Calculations!$B15,Register!$A:$A,0),MATCH(Calculations!AA$8,Register!$1:$1,0)))</f>
        <v/>
      </c>
      <c r="AB15" s="85">
        <f>IF(LEN(INDEX(Register!$1:$1048576,MATCH(Calculations!$B15,Register!$A:$A,0),MATCH(Calculations!AB$8,Register!$1:$1,0)))=0,"",INDEX(Register!$1:$1048576,MATCH(Calculations!$B15,Register!$A:$A,0),MATCH(Calculations!AB$8,Register!$1:$1,0)))</f>
        <v>0.5</v>
      </c>
      <c r="AC15" s="86" t="str">
        <f>INDEX(Register!$1:$1048576,MATCH(Calculations!$B15,Register!$A:$A,0),MATCH(Calculations!AC$8,Register!$1:$1,0))</f>
        <v>Poisson</v>
      </c>
      <c r="AD15" s="86" t="str">
        <f>INDEX(Register!$1:$1048576,MATCH(Calculations!$B15,Register!$A:$A,0),MATCH(Calculations!AD$8,Register!$1:$1,0))</f>
        <v>Definite</v>
      </c>
      <c r="AE15" s="86">
        <f>INDEX(Register!$1:$1048576,MATCH(Calculations!$B15,Register!$A:$A,0),MATCH(Calculations!AE$8,Register!$1:$1,0))</f>
        <v>0</v>
      </c>
      <c r="AF15" s="86">
        <f>INDEX(Register!$1:$1048576,MATCH(Calculations!$B15,Register!$A:$A,0),MATCH(Calculations!AF$8,Register!$1:$1,0))</f>
        <v>0</v>
      </c>
      <c r="AG15" s="86">
        <f>INDEX(Register!$1:$1048576,MATCH(Calculations!$B15,Register!$A:$A,0),MATCH(Calculations!AG$8,Register!$1:$1,0))</f>
        <v>0</v>
      </c>
      <c r="AH15" s="86">
        <f>INDEX(Register!$1:$1048576,MATCH(Calculations!$B15,Register!$A:$A,0),MATCH(Calculations!AH$8,Register!$1:$1,0))</f>
        <v>0</v>
      </c>
      <c r="AI15" s="86">
        <f>INDEX(Register!$1:$1048576,MATCH(Calculations!$B15,Register!$A:$A,0),MATCH(Calculations!AI$8,Register!$1:$1,0))</f>
        <v>0</v>
      </c>
      <c r="AL15" s="113">
        <f ca="1">INDEX(Inputs!$D$6:$D$12,MATCH(Calculations!$AD15,Inputs!$B$6:$B$12,0))+RAND()*(INDEX(Inputs!$E$6:$E$12,MATCH(Calculations!$AD15,Inputs!$B$6:$B$12,0))-INDEX(Inputs!$D$6:$D$12,MATCH(Calculations!$AD15,Inputs!$B$6:$B$12,0)))</f>
        <v>1.0009999999999999</v>
      </c>
      <c r="AM15" s="113">
        <f ca="1">INDEX(Inputs!$D$6:$D$12,MATCH(Calculations!$AD15,Inputs!$B$6:$B$12,0))+RAND()*(INDEX(Inputs!$E$6:$E$12,MATCH(Calculations!$AD15,Inputs!$B$6:$B$12,0))-INDEX(Inputs!$D$6:$D$12,MATCH(Calculations!$AD15,Inputs!$B$6:$B$12,0)))</f>
        <v>1.0009999999999999</v>
      </c>
      <c r="AN15" s="113">
        <f ca="1">INDEX(Inputs!$D$6:$D$12,MATCH(Calculations!$AD15,Inputs!$B$6:$B$12,0))+RAND()*(INDEX(Inputs!$E$6:$E$12,MATCH(Calculations!$AD15,Inputs!$B$6:$B$12,0))-INDEX(Inputs!$D$6:$D$12,MATCH(Calculations!$AD15,Inputs!$B$6:$B$12,0)))</f>
        <v>1.0009999999999999</v>
      </c>
      <c r="AO15" s="113">
        <f ca="1">INDEX(Inputs!$D$6:$D$12,MATCH(Calculations!$AD15,Inputs!$B$6:$B$12,0))+RAND()*(INDEX(Inputs!$E$6:$E$12,MATCH(Calculations!$AD15,Inputs!$B$6:$B$12,0))-INDEX(Inputs!$D$6:$D$12,MATCH(Calculations!$AD15,Inputs!$B$6:$B$12,0)))</f>
        <v>1.0009999999999999</v>
      </c>
      <c r="AP15" s="113">
        <f ca="1">INDEX(Inputs!$D$6:$D$12,MATCH(Calculations!$AD15,Inputs!$B$6:$B$12,0))+RAND()*(INDEX(Inputs!$E$6:$E$12,MATCH(Calculations!$AD15,Inputs!$B$6:$B$12,0))-INDEX(Inputs!$D$6:$D$12,MATCH(Calculations!$AD15,Inputs!$B$6:$B$12,0)))</f>
        <v>1.0009999999999999</v>
      </c>
      <c r="AQ15" s="24"/>
      <c r="AR15" s="113">
        <f t="shared" ca="1" si="17"/>
        <v>1</v>
      </c>
      <c r="AS15" s="113">
        <f t="shared" ca="1" si="18"/>
        <v>1</v>
      </c>
      <c r="AT15" s="113">
        <f t="shared" ca="1" si="19"/>
        <v>1</v>
      </c>
      <c r="AU15" s="113">
        <f t="shared" ca="1" si="20"/>
        <v>1</v>
      </c>
      <c r="AV15" s="113">
        <f t="shared" ca="1" si="21"/>
        <v>1</v>
      </c>
      <c r="AW15" s="24"/>
      <c r="AX15" s="114">
        <f t="shared" ca="1" si="22"/>
        <v>1</v>
      </c>
      <c r="AY15" s="114">
        <f t="shared" ref="AY15:BB15" ca="1" si="74">IF(OR($AI15="Matches",$AI15="Same Proportion"),AX15,IF(AND($AI15="Stops after non-occurrence",AX15=0),0,AS15))</f>
        <v>1</v>
      </c>
      <c r="AZ15" s="114">
        <f t="shared" ca="1" si="74"/>
        <v>1</v>
      </c>
      <c r="BA15" s="114">
        <f t="shared" ca="1" si="74"/>
        <v>1</v>
      </c>
      <c r="BB15" s="114">
        <f t="shared" ca="1" si="74"/>
        <v>1</v>
      </c>
      <c r="BC15" s="24"/>
      <c r="BD15" s="114">
        <f t="shared" ca="1" si="24"/>
        <v>1</v>
      </c>
      <c r="BE15" s="114">
        <f t="shared" ca="1" si="25"/>
        <v>1</v>
      </c>
      <c r="BF15" s="114">
        <f t="shared" ca="1" si="26"/>
        <v>1</v>
      </c>
      <c r="BG15" s="114">
        <f t="shared" ca="1" si="27"/>
        <v>1</v>
      </c>
      <c r="BH15" s="114">
        <f t="shared" ca="1" si="28"/>
        <v>1</v>
      </c>
      <c r="BI15" s="24"/>
      <c r="BJ15" s="113">
        <f t="shared" ca="1" si="29"/>
        <v>0.58159986235091532</v>
      </c>
      <c r="BK15" s="113">
        <f t="shared" ref="BK15:BN15" ca="1" si="75">IF($AH15="Same Proportion",INDEX(BK:BK,MATCH($AG15,$B:$B,0)),IF($AI15="Same Proportion",BJ15,RAND()))</f>
        <v>0.76928095382959893</v>
      </c>
      <c r="BL15" s="113">
        <f t="shared" ca="1" si="75"/>
        <v>0.19760381921798498</v>
      </c>
      <c r="BM15" s="113">
        <f t="shared" ca="1" si="75"/>
        <v>0.81029216497612244</v>
      </c>
      <c r="BN15" s="113">
        <f t="shared" ca="1" si="75"/>
        <v>9.2165482339013671E-2</v>
      </c>
      <c r="BO15" s="25"/>
      <c r="BP15" s="114">
        <f t="shared" si="31"/>
        <v>5</v>
      </c>
      <c r="BQ15" s="114">
        <f t="shared" si="32"/>
        <v>5</v>
      </c>
      <c r="BR15" s="114">
        <f t="shared" si="33"/>
        <v>5</v>
      </c>
      <c r="BS15" s="114">
        <f t="shared" si="34"/>
        <v>5</v>
      </c>
      <c r="BT15" s="114">
        <f t="shared" si="35"/>
        <v>5</v>
      </c>
      <c r="BU15" s="25"/>
      <c r="BV15" s="114">
        <f t="shared" si="36"/>
        <v>0</v>
      </c>
      <c r="BW15" s="114">
        <f t="shared" si="37"/>
        <v>0</v>
      </c>
      <c r="BX15" s="114">
        <f t="shared" si="38"/>
        <v>0</v>
      </c>
      <c r="BY15" s="114">
        <f t="shared" si="39"/>
        <v>0</v>
      </c>
      <c r="BZ15" s="114">
        <f t="shared" si="40"/>
        <v>0</v>
      </c>
      <c r="CA15" s="25"/>
      <c r="CB15" s="114">
        <f t="shared" si="41"/>
        <v>0</v>
      </c>
      <c r="CC15" s="114">
        <f t="shared" si="42"/>
        <v>0</v>
      </c>
      <c r="CD15" s="114">
        <f t="shared" si="43"/>
        <v>0</v>
      </c>
      <c r="CE15" s="114">
        <f t="shared" si="44"/>
        <v>0</v>
      </c>
      <c r="CF15" s="114">
        <f t="shared" si="45"/>
        <v>0</v>
      </c>
      <c r="CG15" s="25"/>
      <c r="CH15" s="114">
        <f t="shared" si="46"/>
        <v>0</v>
      </c>
      <c r="CI15" s="114">
        <f t="shared" si="47"/>
        <v>0</v>
      </c>
      <c r="CJ15" s="114">
        <f t="shared" si="48"/>
        <v>0</v>
      </c>
      <c r="CK15" s="114">
        <f t="shared" si="49"/>
        <v>0</v>
      </c>
      <c r="CL15" s="114">
        <f t="shared" si="50"/>
        <v>0</v>
      </c>
      <c r="CM15" s="25"/>
      <c r="CN15" s="114">
        <f t="shared" ca="1" si="51"/>
        <v>2.5</v>
      </c>
      <c r="CO15" s="114">
        <f t="shared" ca="1" si="52"/>
        <v>3.5</v>
      </c>
      <c r="CP15" s="114">
        <f t="shared" ca="1" si="53"/>
        <v>1.5</v>
      </c>
      <c r="CQ15" s="114">
        <f t="shared" ca="1" si="54"/>
        <v>3.5</v>
      </c>
      <c r="CR15" s="114">
        <f t="shared" ca="1" si="55"/>
        <v>1</v>
      </c>
      <c r="CS15" s="25"/>
      <c r="CT15" s="114">
        <f t="shared" ca="1" si="56"/>
        <v>2.5</v>
      </c>
      <c r="CU15" s="114">
        <f t="shared" ca="1" si="57"/>
        <v>3.5</v>
      </c>
      <c r="CV15" s="114">
        <f t="shared" ca="1" si="58"/>
        <v>1.5</v>
      </c>
      <c r="CW15" s="114">
        <f t="shared" ca="1" si="59"/>
        <v>3.5</v>
      </c>
      <c r="CX15" s="114">
        <f t="shared" ca="1" si="60"/>
        <v>1</v>
      </c>
      <c r="CY15" s="24"/>
      <c r="CZ15" s="114">
        <f t="shared" ca="1" si="61"/>
        <v>2.5</v>
      </c>
      <c r="DA15" s="114">
        <f t="shared" ca="1" si="62"/>
        <v>3.5</v>
      </c>
      <c r="DB15" s="114">
        <f t="shared" ca="1" si="63"/>
        <v>1.5</v>
      </c>
      <c r="DC15" s="114">
        <f t="shared" ca="1" si="64"/>
        <v>3.5</v>
      </c>
      <c r="DD15" s="114">
        <f t="shared" ca="1" si="65"/>
        <v>1</v>
      </c>
    </row>
  </sheetData>
  <autoFilter ref="A8:DL9"/>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5" tint="0.79998168889431442"/>
  </sheetPr>
  <dimension ref="A2:AV68"/>
  <sheetViews>
    <sheetView zoomScale="60" zoomScaleNormal="60" zoomScaleSheetLayoutView="20" workbookViewId="0">
      <pane xSplit="3" ySplit="9" topLeftCell="D10" activePane="bottomRight" state="frozen"/>
      <selection activeCell="G15" sqref="G14:G15"/>
      <selection pane="topRight" activeCell="G15" sqref="G14:G15"/>
      <selection pane="bottomLeft" activeCell="G15" sqref="G14:G15"/>
      <selection pane="bottomRight" activeCell="A9" sqref="A9"/>
    </sheetView>
  </sheetViews>
  <sheetFormatPr defaultColWidth="9.109375" defaultRowHeight="13.2" x14ac:dyDescent="0.25"/>
  <cols>
    <col min="1" max="1" width="9.109375" style="30"/>
    <col min="2" max="2" width="14" style="33" customWidth="1"/>
    <col min="3" max="3" width="11.109375" style="33" customWidth="1"/>
    <col min="4" max="4" width="31.5546875" style="33" customWidth="1"/>
    <col min="5" max="5" width="63.88671875" style="33" customWidth="1"/>
    <col min="6" max="10" width="9.109375" style="33"/>
    <col min="11" max="12" width="13.33203125" style="33" customWidth="1"/>
    <col min="13" max="13" width="39" style="33" customWidth="1"/>
    <col min="14" max="14" width="71" style="33" customWidth="1"/>
    <col min="15" max="15" width="21.6640625" style="79" customWidth="1"/>
    <col min="16" max="17" width="17.88671875" style="79" customWidth="1"/>
    <col min="18" max="19" width="9.109375" style="33"/>
    <col min="20" max="20" width="18.88671875" style="33" customWidth="1"/>
    <col min="21" max="21" width="11" style="33" customWidth="1"/>
    <col min="22" max="22" width="16.88671875" style="33" customWidth="1"/>
    <col min="23" max="24" width="9.109375" style="33"/>
    <col min="25" max="25" width="17.109375" style="33" customWidth="1"/>
    <col min="26" max="26" width="15.88671875" style="33" customWidth="1"/>
    <col min="27" max="27" width="15.88671875" style="30" customWidth="1"/>
    <col min="28" max="29" width="24.6640625" style="30" customWidth="1"/>
    <col min="30" max="30" width="20.33203125" style="30" customWidth="1"/>
    <col min="31" max="48" width="9.88671875" style="30" customWidth="1"/>
    <col min="49" max="16384" width="9.109375" style="30"/>
  </cols>
  <sheetData>
    <row r="2" spans="1:48" x14ac:dyDescent="0.25">
      <c r="B2" s="31" t="s">
        <v>29</v>
      </c>
      <c r="C2" s="32"/>
      <c r="V2" s="37" t="s">
        <v>28</v>
      </c>
      <c r="AC2" s="34" t="s">
        <v>217</v>
      </c>
      <c r="AG2" s="33"/>
    </row>
    <row r="3" spans="1:48" x14ac:dyDescent="0.25">
      <c r="B3" s="35" t="s">
        <v>30</v>
      </c>
      <c r="C3" s="36"/>
      <c r="D3" s="36"/>
      <c r="E3" s="36"/>
      <c r="G3" s="68"/>
      <c r="V3" s="37" t="s">
        <v>24</v>
      </c>
      <c r="W3" s="37"/>
      <c r="AC3" s="34" t="s">
        <v>218</v>
      </c>
    </row>
    <row r="4" spans="1:48" x14ac:dyDescent="0.25">
      <c r="B4" s="38" t="s">
        <v>31</v>
      </c>
      <c r="C4" s="39"/>
      <c r="F4" s="33">
        <f>-1</f>
        <v>-1</v>
      </c>
      <c r="V4" s="37" t="s">
        <v>21</v>
      </c>
      <c r="W4" s="37"/>
      <c r="AC4" s="34" t="s">
        <v>219</v>
      </c>
      <c r="AE4" s="67" t="s">
        <v>224</v>
      </c>
      <c r="AF4" s="67"/>
      <c r="AG4" s="67"/>
    </row>
    <row r="5" spans="1:48" x14ac:dyDescent="0.25">
      <c r="B5" s="40" t="s">
        <v>32</v>
      </c>
      <c r="V5" s="37" t="s">
        <v>22</v>
      </c>
      <c r="W5" s="37"/>
      <c r="AC5" s="34" t="s">
        <v>10</v>
      </c>
      <c r="AE5" s="67" t="s">
        <v>225</v>
      </c>
      <c r="AF5" s="67"/>
      <c r="AG5" s="67"/>
    </row>
    <row r="6" spans="1:48" x14ac:dyDescent="0.25">
      <c r="V6" s="37" t="s">
        <v>25</v>
      </c>
      <c r="W6" s="37"/>
      <c r="AC6" s="34"/>
    </row>
    <row r="7" spans="1:48" x14ac:dyDescent="0.25">
      <c r="B7" s="41" t="s">
        <v>18</v>
      </c>
      <c r="C7" s="41" t="s">
        <v>33</v>
      </c>
      <c r="D7" s="41"/>
      <c r="E7" s="41"/>
      <c r="V7" s="37" t="s">
        <v>23</v>
      </c>
      <c r="W7" s="37"/>
      <c r="AC7" s="34"/>
    </row>
    <row r="8" spans="1:48" x14ac:dyDescent="0.25">
      <c r="AA8" s="33"/>
      <c r="AC8" s="33"/>
      <c r="AE8" s="196" t="s">
        <v>3</v>
      </c>
      <c r="AF8" s="196"/>
      <c r="AG8" s="197"/>
      <c r="AH8" s="196" t="s">
        <v>4</v>
      </c>
      <c r="AI8" s="196"/>
      <c r="AJ8" s="197"/>
      <c r="AK8" s="196" t="s">
        <v>5</v>
      </c>
      <c r="AL8" s="196"/>
      <c r="AM8" s="197"/>
      <c r="AN8" s="196" t="s">
        <v>6</v>
      </c>
      <c r="AO8" s="196"/>
      <c r="AP8" s="197"/>
      <c r="AQ8" s="196" t="s">
        <v>7</v>
      </c>
      <c r="AR8" s="196"/>
      <c r="AS8" s="197"/>
      <c r="AT8" s="196" t="s">
        <v>8</v>
      </c>
      <c r="AU8" s="196"/>
      <c r="AV8" s="197"/>
    </row>
    <row r="9" spans="1:48" s="46" customFormat="1" ht="92.4" x14ac:dyDescent="0.25">
      <c r="A9" s="42"/>
      <c r="B9" s="43" t="s">
        <v>34</v>
      </c>
      <c r="C9" s="43" t="s">
        <v>35</v>
      </c>
      <c r="D9" s="43" t="s">
        <v>13</v>
      </c>
      <c r="E9" s="43" t="s">
        <v>36</v>
      </c>
      <c r="F9" s="43" t="s">
        <v>37</v>
      </c>
      <c r="G9" s="43" t="s">
        <v>38</v>
      </c>
      <c r="H9" s="43" t="s">
        <v>39</v>
      </c>
      <c r="I9" s="43" t="s">
        <v>40</v>
      </c>
      <c r="J9" s="43" t="s">
        <v>41</v>
      </c>
      <c r="K9" s="43" t="s">
        <v>42</v>
      </c>
      <c r="L9" s="43" t="s">
        <v>43</v>
      </c>
      <c r="M9" s="43" t="s">
        <v>44</v>
      </c>
      <c r="N9" s="43" t="s">
        <v>188</v>
      </c>
      <c r="O9" s="43" t="s">
        <v>47</v>
      </c>
      <c r="P9" s="43" t="s">
        <v>187</v>
      </c>
      <c r="Q9" s="43" t="s">
        <v>189</v>
      </c>
      <c r="R9" s="77"/>
      <c r="S9" s="44" t="s">
        <v>45</v>
      </c>
      <c r="T9" s="44" t="s">
        <v>46</v>
      </c>
      <c r="U9" s="44" t="s">
        <v>213</v>
      </c>
      <c r="V9" s="44" t="s">
        <v>47</v>
      </c>
      <c r="W9" s="44" t="s">
        <v>48</v>
      </c>
      <c r="X9" s="44" t="s">
        <v>49</v>
      </c>
      <c r="Y9" s="44" t="s">
        <v>50</v>
      </c>
      <c r="Z9" s="44" t="s">
        <v>215</v>
      </c>
      <c r="AA9" s="44" t="s">
        <v>214</v>
      </c>
      <c r="AB9" s="45" t="s">
        <v>216</v>
      </c>
      <c r="AC9" s="45" t="s">
        <v>222</v>
      </c>
      <c r="AD9" s="44" t="s">
        <v>220</v>
      </c>
      <c r="AE9" s="44" t="s">
        <v>197</v>
      </c>
      <c r="AF9" s="44" t="s">
        <v>198</v>
      </c>
      <c r="AG9" s="44" t="s">
        <v>196</v>
      </c>
      <c r="AH9" s="44" t="s">
        <v>197</v>
      </c>
      <c r="AI9" s="44" t="s">
        <v>198</v>
      </c>
      <c r="AJ9" s="44" t="s">
        <v>196</v>
      </c>
      <c r="AK9" s="44" t="s">
        <v>197</v>
      </c>
      <c r="AL9" s="44" t="s">
        <v>198</v>
      </c>
      <c r="AM9" s="44" t="s">
        <v>196</v>
      </c>
      <c r="AN9" s="44" t="s">
        <v>197</v>
      </c>
      <c r="AO9" s="44" t="s">
        <v>198</v>
      </c>
      <c r="AP9" s="44" t="s">
        <v>196</v>
      </c>
      <c r="AQ9" s="44" t="s">
        <v>197</v>
      </c>
      <c r="AR9" s="44" t="s">
        <v>198</v>
      </c>
      <c r="AS9" s="44" t="s">
        <v>196</v>
      </c>
      <c r="AT9" s="44" t="s">
        <v>197</v>
      </c>
      <c r="AU9" s="44" t="s">
        <v>198</v>
      </c>
      <c r="AV9" s="44" t="s">
        <v>196</v>
      </c>
    </row>
    <row r="10" spans="1:48" s="72" customFormat="1" ht="211.2" x14ac:dyDescent="0.25">
      <c r="A10" s="69"/>
      <c r="B10" s="69" t="s">
        <v>14</v>
      </c>
      <c r="C10" s="69">
        <v>1</v>
      </c>
      <c r="D10" s="69" t="s">
        <v>51</v>
      </c>
      <c r="E10" s="69" t="s">
        <v>52</v>
      </c>
      <c r="F10" s="71">
        <v>5.9000000000000003E-4</v>
      </c>
      <c r="G10" s="71">
        <v>4</v>
      </c>
      <c r="H10" s="71">
        <v>18</v>
      </c>
      <c r="I10" s="71">
        <v>23</v>
      </c>
      <c r="J10" s="71">
        <v>25.337629</v>
      </c>
      <c r="K10" s="69" t="s">
        <v>0</v>
      </c>
      <c r="L10" s="69" t="s">
        <v>1</v>
      </c>
      <c r="M10" s="69" t="s">
        <v>54</v>
      </c>
      <c r="N10" s="69" t="s">
        <v>229</v>
      </c>
      <c r="O10" s="80" t="s">
        <v>22</v>
      </c>
      <c r="P10" s="80" t="s">
        <v>211</v>
      </c>
      <c r="Q10" s="96">
        <v>43017</v>
      </c>
      <c r="R10" s="78"/>
      <c r="S10" s="69" t="s">
        <v>16</v>
      </c>
      <c r="T10" s="69"/>
      <c r="U10" s="69" t="s">
        <v>28</v>
      </c>
      <c r="V10" s="69" t="s">
        <v>22</v>
      </c>
      <c r="W10" s="69" t="s">
        <v>11</v>
      </c>
      <c r="X10" s="69" t="s">
        <v>19</v>
      </c>
      <c r="Y10" s="69" t="s">
        <v>56</v>
      </c>
      <c r="Z10" s="69" t="s">
        <v>185</v>
      </c>
      <c r="AA10" s="69" t="s">
        <v>185</v>
      </c>
      <c r="AB10" s="69" t="s">
        <v>221</v>
      </c>
      <c r="AC10" s="69" t="s">
        <v>219</v>
      </c>
      <c r="AD10" s="69"/>
      <c r="AE10" s="82">
        <v>0</v>
      </c>
      <c r="AF10" s="82">
        <v>0</v>
      </c>
      <c r="AG10" s="82">
        <v>0</v>
      </c>
      <c r="AH10" s="82">
        <f>AI10*(1+0.1)</f>
        <v>-4.4000000000000004</v>
      </c>
      <c r="AI10" s="82">
        <v>-4</v>
      </c>
      <c r="AJ10" s="82">
        <f>AI10*(1-0.1)</f>
        <v>-3.6</v>
      </c>
      <c r="AK10" s="82">
        <f>AL10*(1+0.1)</f>
        <v>-19.8</v>
      </c>
      <c r="AL10" s="82">
        <v>-18</v>
      </c>
      <c r="AM10" s="82">
        <f>AL10*(1-0.1)</f>
        <v>-16.2</v>
      </c>
      <c r="AN10" s="82">
        <f>AO10*(1+0.1)</f>
        <v>-25.3</v>
      </c>
      <c r="AO10" s="82">
        <v>-23</v>
      </c>
      <c r="AP10" s="82">
        <f>AO10*(1-0.1)</f>
        <v>-20.7</v>
      </c>
      <c r="AQ10" s="82">
        <f>AR10*(1+0.1)</f>
        <v>-27.500000000000004</v>
      </c>
      <c r="AR10" s="82">
        <v>-25</v>
      </c>
      <c r="AS10" s="82">
        <f>AR10*(1-0.1)</f>
        <v>-22.5</v>
      </c>
      <c r="AT10" s="82">
        <f>AU10*(1+0.1)</f>
        <v>-27.500000000000004</v>
      </c>
      <c r="AU10" s="82">
        <v>-25</v>
      </c>
      <c r="AV10" s="82">
        <f>AU10*(1-0.1)</f>
        <v>-22.5</v>
      </c>
    </row>
    <row r="11" spans="1:48" s="84" customFormat="1" ht="211.2" x14ac:dyDescent="0.25">
      <c r="A11" s="50"/>
      <c r="B11" s="49" t="s">
        <v>14</v>
      </c>
      <c r="C11" s="50">
        <v>2</v>
      </c>
      <c r="D11" s="50" t="s">
        <v>58</v>
      </c>
      <c r="E11" s="50" t="s">
        <v>59</v>
      </c>
      <c r="F11" s="51">
        <v>3.1716825484689868</v>
      </c>
      <c r="G11" s="51">
        <v>14.204926111413846</v>
      </c>
      <c r="H11" s="51">
        <v>15.655965501826264</v>
      </c>
      <c r="I11" s="51">
        <v>15.868614375959213</v>
      </c>
      <c r="J11" s="51">
        <v>15.955787981083997</v>
      </c>
      <c r="K11" s="50" t="s">
        <v>0</v>
      </c>
      <c r="L11" s="50" t="s">
        <v>2</v>
      </c>
      <c r="M11" s="50" t="s">
        <v>54</v>
      </c>
      <c r="N11" s="50" t="s">
        <v>230</v>
      </c>
      <c r="O11" s="81" t="s">
        <v>24</v>
      </c>
      <c r="P11" s="81" t="s">
        <v>190</v>
      </c>
      <c r="Q11" s="81"/>
      <c r="S11" s="50" t="s">
        <v>16</v>
      </c>
      <c r="T11" s="50"/>
      <c r="U11" s="50" t="s">
        <v>28</v>
      </c>
      <c r="V11" s="50" t="s">
        <v>24</v>
      </c>
      <c r="W11" s="50" t="s">
        <v>9</v>
      </c>
      <c r="X11" s="50" t="s">
        <v>19</v>
      </c>
      <c r="Y11" s="50" t="s">
        <v>242</v>
      </c>
      <c r="Z11" s="50" t="s">
        <v>57</v>
      </c>
      <c r="AA11" s="50" t="s">
        <v>185</v>
      </c>
      <c r="AB11" s="50" t="s">
        <v>221</v>
      </c>
      <c r="AC11" s="50" t="s">
        <v>219</v>
      </c>
      <c r="AD11" s="50"/>
      <c r="AE11" s="53">
        <f>3.17168254846899*(-1)</f>
        <v>-3.1716825484689899</v>
      </c>
      <c r="AF11" s="53">
        <f>0*(-1)</f>
        <v>0</v>
      </c>
      <c r="AG11" s="53">
        <v>0</v>
      </c>
      <c r="AH11" s="53">
        <f>14.2049261114138*(-1)</f>
        <v>-14.204926111413799</v>
      </c>
      <c r="AI11" s="53">
        <f>0*(-1)</f>
        <v>0</v>
      </c>
      <c r="AJ11" s="53">
        <v>0</v>
      </c>
      <c r="AK11" s="53">
        <f>15.6559655018263*(-1)</f>
        <v>-15.6559655018263</v>
      </c>
      <c r="AL11" s="53">
        <f>0*(-1)</f>
        <v>0</v>
      </c>
      <c r="AM11" s="53">
        <v>0</v>
      </c>
      <c r="AN11" s="53">
        <f>15.8686143759592*(-1)</f>
        <v>-15.868614375959201</v>
      </c>
      <c r="AO11" s="53">
        <f>0*(-1)</f>
        <v>0</v>
      </c>
      <c r="AP11" s="53">
        <v>0</v>
      </c>
      <c r="AQ11" s="53">
        <f>15.8686143759592*(-1)</f>
        <v>-15.868614375959201</v>
      </c>
      <c r="AR11" s="53">
        <f>0*(-1)</f>
        <v>0</v>
      </c>
      <c r="AS11" s="53">
        <v>0</v>
      </c>
      <c r="AT11" s="53">
        <f>15.955787981084*(-1)</f>
        <v>-15.955787981084001</v>
      </c>
      <c r="AU11" s="53">
        <f>0*(-1)</f>
        <v>0</v>
      </c>
      <c r="AV11" s="53">
        <v>0</v>
      </c>
    </row>
    <row r="12" spans="1:48" s="72" customFormat="1" ht="198" x14ac:dyDescent="0.25">
      <c r="A12" s="69"/>
      <c r="B12" s="70" t="s">
        <v>14</v>
      </c>
      <c r="C12" s="69">
        <v>3</v>
      </c>
      <c r="D12" s="69" t="s">
        <v>60</v>
      </c>
      <c r="E12" s="69" t="s">
        <v>61</v>
      </c>
      <c r="F12" s="71"/>
      <c r="G12" s="71"/>
      <c r="H12" s="71" t="s">
        <v>200</v>
      </c>
      <c r="I12" s="71" t="s">
        <v>200</v>
      </c>
      <c r="J12" s="71" t="s">
        <v>200</v>
      </c>
      <c r="K12" s="69" t="s">
        <v>0</v>
      </c>
      <c r="L12" s="69" t="s">
        <v>2</v>
      </c>
      <c r="M12" s="69" t="s">
        <v>54</v>
      </c>
      <c r="N12" s="69" t="s">
        <v>195</v>
      </c>
      <c r="O12" s="80" t="s">
        <v>21</v>
      </c>
      <c r="P12" s="80" t="s">
        <v>207</v>
      </c>
      <c r="Q12" s="96">
        <v>43017</v>
      </c>
      <c r="S12" s="69" t="s">
        <v>16</v>
      </c>
      <c r="T12" s="69"/>
      <c r="U12" s="69" t="s">
        <v>55</v>
      </c>
      <c r="V12" s="69" t="s">
        <v>21</v>
      </c>
      <c r="W12" s="69" t="s">
        <v>9</v>
      </c>
      <c r="X12" s="69" t="s">
        <v>19</v>
      </c>
      <c r="Y12" s="69" t="s">
        <v>56</v>
      </c>
      <c r="Z12" s="69" t="s">
        <v>57</v>
      </c>
      <c r="AA12" s="69" t="s">
        <v>185</v>
      </c>
      <c r="AB12" s="69" t="s">
        <v>221</v>
      </c>
      <c r="AC12" s="69" t="s">
        <v>219</v>
      </c>
      <c r="AD12" s="69"/>
      <c r="AE12" s="82">
        <v>0</v>
      </c>
      <c r="AF12" s="82">
        <v>0</v>
      </c>
      <c r="AG12" s="82">
        <v>0</v>
      </c>
      <c r="AH12" s="82">
        <v>0</v>
      </c>
      <c r="AI12" s="82">
        <v>0</v>
      </c>
      <c r="AJ12" s="82">
        <v>0</v>
      </c>
      <c r="AK12" s="82">
        <v>-4</v>
      </c>
      <c r="AL12" s="82">
        <v>-3</v>
      </c>
      <c r="AM12" s="82">
        <v>-2</v>
      </c>
      <c r="AN12" s="82">
        <v>-4</v>
      </c>
      <c r="AO12" s="82">
        <v>-3</v>
      </c>
      <c r="AP12" s="82">
        <v>-2</v>
      </c>
      <c r="AQ12" s="82">
        <v>-4</v>
      </c>
      <c r="AR12" s="82">
        <v>-3</v>
      </c>
      <c r="AS12" s="82">
        <v>-2</v>
      </c>
      <c r="AT12" s="82">
        <v>-4</v>
      </c>
      <c r="AU12" s="82">
        <v>-3</v>
      </c>
      <c r="AV12" s="82">
        <v>-2</v>
      </c>
    </row>
    <row r="13" spans="1:48" s="72" customFormat="1" ht="145.19999999999999" x14ac:dyDescent="0.25">
      <c r="A13" s="69"/>
      <c r="B13" s="70" t="s">
        <v>14</v>
      </c>
      <c r="C13" s="69">
        <v>4</v>
      </c>
      <c r="D13" s="69" t="s">
        <v>62</v>
      </c>
      <c r="E13" s="69" t="s">
        <v>63</v>
      </c>
      <c r="F13" s="71"/>
      <c r="G13" s="71">
        <v>1</v>
      </c>
      <c r="H13" s="71">
        <v>3</v>
      </c>
      <c r="I13" s="71">
        <v>4</v>
      </c>
      <c r="J13" s="71">
        <v>4</v>
      </c>
      <c r="K13" s="69" t="s">
        <v>0</v>
      </c>
      <c r="L13" s="69" t="s">
        <v>2</v>
      </c>
      <c r="M13" s="69" t="s">
        <v>253</v>
      </c>
      <c r="N13" s="69" t="s">
        <v>254</v>
      </c>
      <c r="O13" s="80" t="s">
        <v>24</v>
      </c>
      <c r="P13" s="80" t="s">
        <v>245</v>
      </c>
      <c r="Q13" s="96">
        <v>43017</v>
      </c>
      <c r="S13" s="69" t="s">
        <v>16</v>
      </c>
      <c r="T13" s="69"/>
      <c r="U13" s="69" t="s">
        <v>28</v>
      </c>
      <c r="V13" s="69" t="s">
        <v>24</v>
      </c>
      <c r="W13" s="69" t="s">
        <v>11</v>
      </c>
      <c r="X13" s="69" t="s">
        <v>19</v>
      </c>
      <c r="Y13" s="69" t="s">
        <v>56</v>
      </c>
      <c r="Z13" s="69" t="s">
        <v>57</v>
      </c>
      <c r="AA13" s="69" t="s">
        <v>185</v>
      </c>
      <c r="AB13" s="69" t="s">
        <v>221</v>
      </c>
      <c r="AC13" s="69" t="s">
        <v>218</v>
      </c>
      <c r="AD13" s="69"/>
      <c r="AE13" s="69"/>
      <c r="AF13" s="69"/>
      <c r="AG13" s="69"/>
      <c r="AH13" s="69">
        <v>-1</v>
      </c>
      <c r="AI13" s="69"/>
      <c r="AJ13" s="69">
        <v>0</v>
      </c>
      <c r="AK13" s="69">
        <v>-3</v>
      </c>
      <c r="AL13" s="69"/>
      <c r="AM13" s="69">
        <v>0</v>
      </c>
      <c r="AN13" s="69">
        <v>-4</v>
      </c>
      <c r="AO13" s="69"/>
      <c r="AP13" s="69">
        <v>0</v>
      </c>
      <c r="AQ13" s="69">
        <v>-4</v>
      </c>
      <c r="AR13" s="69"/>
      <c r="AS13" s="69">
        <v>0</v>
      </c>
      <c r="AT13" s="69">
        <v>-4</v>
      </c>
      <c r="AU13" s="69"/>
      <c r="AV13" s="69">
        <v>0</v>
      </c>
    </row>
    <row r="14" spans="1:48" s="84" customFormat="1" ht="79.2" x14ac:dyDescent="0.25">
      <c r="A14" s="50"/>
      <c r="B14" s="49" t="s">
        <v>14</v>
      </c>
      <c r="C14" s="50">
        <v>5</v>
      </c>
      <c r="D14" s="50" t="s">
        <v>64</v>
      </c>
      <c r="E14" s="50" t="s">
        <v>65</v>
      </c>
      <c r="F14" s="51"/>
      <c r="G14" s="51"/>
      <c r="H14" s="51"/>
      <c r="I14" s="51"/>
      <c r="J14" s="51"/>
      <c r="K14" s="50" t="s">
        <v>0</v>
      </c>
      <c r="L14" s="50" t="s">
        <v>2</v>
      </c>
      <c r="M14" s="50" t="s">
        <v>54</v>
      </c>
      <c r="N14" s="50"/>
      <c r="O14" s="81"/>
      <c r="P14" s="81"/>
      <c r="Q14" s="81"/>
      <c r="S14" s="50" t="s">
        <v>20</v>
      </c>
      <c r="T14" s="50"/>
      <c r="U14" s="50" t="s">
        <v>55</v>
      </c>
      <c r="V14" s="50"/>
      <c r="W14" s="50" t="s">
        <v>9</v>
      </c>
      <c r="X14" s="50" t="s">
        <v>19</v>
      </c>
      <c r="Y14" s="50" t="s">
        <v>56</v>
      </c>
      <c r="Z14" s="50" t="s">
        <v>57</v>
      </c>
      <c r="AA14" s="50" t="s">
        <v>57</v>
      </c>
      <c r="AB14" s="50"/>
      <c r="AC14" s="50"/>
      <c r="AD14" s="50"/>
      <c r="AE14" s="52"/>
      <c r="AF14" s="52"/>
      <c r="AG14" s="52"/>
      <c r="AH14" s="52"/>
      <c r="AI14" s="52"/>
      <c r="AJ14" s="52"/>
      <c r="AK14" s="52"/>
      <c r="AL14" s="52"/>
      <c r="AM14" s="52"/>
      <c r="AN14" s="52"/>
      <c r="AO14" s="52"/>
      <c r="AP14" s="52"/>
      <c r="AQ14" s="52"/>
      <c r="AR14" s="52"/>
      <c r="AS14" s="52"/>
      <c r="AT14" s="52"/>
      <c r="AU14" s="52"/>
      <c r="AV14" s="52"/>
    </row>
    <row r="15" spans="1:48" s="84" customFormat="1" ht="92.4" x14ac:dyDescent="0.25">
      <c r="A15" s="50"/>
      <c r="B15" s="49" t="s">
        <v>14</v>
      </c>
      <c r="C15" s="50">
        <v>6</v>
      </c>
      <c r="D15" s="50" t="s">
        <v>66</v>
      </c>
      <c r="E15" s="50" t="s">
        <v>67</v>
      </c>
      <c r="F15" s="51"/>
      <c r="G15" s="51"/>
      <c r="H15" s="51"/>
      <c r="I15" s="51"/>
      <c r="J15" s="51"/>
      <c r="K15" s="50" t="s">
        <v>0</v>
      </c>
      <c r="L15" s="50" t="s">
        <v>2</v>
      </c>
      <c r="M15" s="50" t="s">
        <v>54</v>
      </c>
      <c r="N15" s="50"/>
      <c r="O15" s="81"/>
      <c r="P15" s="81"/>
      <c r="Q15" s="81"/>
      <c r="S15" s="50" t="s">
        <v>20</v>
      </c>
      <c r="T15" s="50"/>
      <c r="U15" s="50" t="s">
        <v>55</v>
      </c>
      <c r="V15" s="50"/>
      <c r="W15" s="50" t="s">
        <v>9</v>
      </c>
      <c r="X15" s="50" t="s">
        <v>19</v>
      </c>
      <c r="Y15" s="50" t="s">
        <v>56</v>
      </c>
      <c r="Z15" s="50" t="s">
        <v>57</v>
      </c>
      <c r="AA15" s="50" t="s">
        <v>57</v>
      </c>
      <c r="AB15" s="50"/>
      <c r="AC15" s="50"/>
      <c r="AD15" s="50"/>
      <c r="AE15" s="52"/>
      <c r="AF15" s="52"/>
      <c r="AG15" s="52"/>
      <c r="AH15" s="52"/>
      <c r="AI15" s="52"/>
      <c r="AJ15" s="52"/>
      <c r="AK15" s="52"/>
      <c r="AL15" s="52"/>
      <c r="AM15" s="52"/>
      <c r="AN15" s="52"/>
      <c r="AO15" s="52"/>
      <c r="AP15" s="52"/>
      <c r="AQ15" s="52"/>
      <c r="AR15" s="52"/>
      <c r="AS15" s="52"/>
      <c r="AT15" s="52"/>
      <c r="AU15" s="52"/>
      <c r="AV15" s="52"/>
    </row>
    <row r="16" spans="1:48" s="72" customFormat="1" ht="184.8" x14ac:dyDescent="0.25">
      <c r="A16" s="69"/>
      <c r="B16" s="69" t="s">
        <v>14</v>
      </c>
      <c r="C16" s="69">
        <v>7</v>
      </c>
      <c r="D16" s="69" t="s">
        <v>68</v>
      </c>
      <c r="E16" s="69" t="s">
        <v>69</v>
      </c>
      <c r="F16" s="71">
        <v>0</v>
      </c>
      <c r="G16" s="71">
        <v>21.074187673627499</v>
      </c>
      <c r="H16" s="71">
        <v>23.313181756678965</v>
      </c>
      <c r="I16" s="71">
        <v>23.293750982217702</v>
      </c>
      <c r="J16" s="71">
        <v>23.4</v>
      </c>
      <c r="K16" s="69" t="s">
        <v>1</v>
      </c>
      <c r="L16" s="69" t="s">
        <v>53</v>
      </c>
      <c r="M16" s="69" t="s">
        <v>70</v>
      </c>
      <c r="N16" s="95" t="s">
        <v>251</v>
      </c>
      <c r="O16" s="80" t="s">
        <v>24</v>
      </c>
      <c r="P16" s="80" t="s">
        <v>250</v>
      </c>
      <c r="Q16" s="96">
        <v>43017</v>
      </c>
      <c r="S16" s="69" t="s">
        <v>16</v>
      </c>
      <c r="T16" s="69"/>
      <c r="U16" s="69" t="s">
        <v>55</v>
      </c>
      <c r="V16" s="69" t="s">
        <v>24</v>
      </c>
      <c r="W16" s="69" t="s">
        <v>9</v>
      </c>
      <c r="X16" s="69" t="s">
        <v>19</v>
      </c>
      <c r="Y16" s="69" t="s">
        <v>56</v>
      </c>
      <c r="Z16" s="69" t="s">
        <v>57</v>
      </c>
      <c r="AA16" s="69" t="s">
        <v>57</v>
      </c>
      <c r="AB16" s="69"/>
      <c r="AC16" s="69" t="s">
        <v>219</v>
      </c>
      <c r="AD16" s="69"/>
      <c r="AE16" s="82"/>
      <c r="AF16" s="82"/>
      <c r="AG16" s="82"/>
      <c r="AH16" s="71">
        <v>-21.074187673627499</v>
      </c>
      <c r="AI16" s="83">
        <f>AH16/2</f>
        <v>-10.537093836813749</v>
      </c>
      <c r="AJ16" s="71">
        <v>0</v>
      </c>
      <c r="AK16" s="82"/>
      <c r="AL16" s="71">
        <v>-23.313181756679001</v>
      </c>
      <c r="AM16" s="71"/>
      <c r="AN16" s="71"/>
      <c r="AO16" s="71">
        <v>-23.293750982217698</v>
      </c>
      <c r="AP16" s="82"/>
      <c r="AQ16" s="82"/>
      <c r="AR16" s="71">
        <v>-23.4</v>
      </c>
      <c r="AS16" s="82"/>
      <c r="AT16" s="82"/>
      <c r="AU16" s="71">
        <v>-23.4</v>
      </c>
      <c r="AV16" s="82"/>
    </row>
    <row r="17" spans="1:48" s="72" customFormat="1" ht="92.4" x14ac:dyDescent="0.25">
      <c r="A17" s="69"/>
      <c r="B17" s="69" t="s">
        <v>14</v>
      </c>
      <c r="C17" s="69">
        <v>8</v>
      </c>
      <c r="D17" s="69" t="s">
        <v>71</v>
      </c>
      <c r="E17" s="69" t="s">
        <v>72</v>
      </c>
      <c r="F17" s="71">
        <v>2.8316870000000001</v>
      </c>
      <c r="G17" s="71">
        <v>2.8316870000000001</v>
      </c>
      <c r="H17" s="71">
        <v>2.8316870000000001</v>
      </c>
      <c r="I17" s="71">
        <v>2.8316870000000001</v>
      </c>
      <c r="J17" s="71">
        <v>2.8316870000000001</v>
      </c>
      <c r="K17" s="69" t="s">
        <v>260</v>
      </c>
      <c r="L17" s="69" t="s">
        <v>1</v>
      </c>
      <c r="M17" s="69" t="s">
        <v>73</v>
      </c>
      <c r="N17" s="69" t="s">
        <v>273</v>
      </c>
      <c r="O17" s="80" t="s">
        <v>24</v>
      </c>
      <c r="P17" s="80" t="s">
        <v>186</v>
      </c>
      <c r="Q17" s="96">
        <v>43017</v>
      </c>
      <c r="S17" s="69" t="s">
        <v>16</v>
      </c>
      <c r="T17" s="69"/>
      <c r="U17" s="69" t="s">
        <v>55</v>
      </c>
      <c r="V17" s="69" t="s">
        <v>24</v>
      </c>
      <c r="W17" s="69" t="s">
        <v>9</v>
      </c>
      <c r="X17" s="69" t="s">
        <v>19</v>
      </c>
      <c r="Y17" s="69" t="s">
        <v>56</v>
      </c>
      <c r="Z17" s="69" t="s">
        <v>57</v>
      </c>
      <c r="AA17" s="69" t="s">
        <v>57</v>
      </c>
      <c r="AB17" s="69"/>
      <c r="AC17" s="69" t="s">
        <v>218</v>
      </c>
      <c r="AD17" s="69"/>
      <c r="AE17" s="71">
        <v>-2.8316870000000001</v>
      </c>
      <c r="AF17" s="82"/>
      <c r="AG17" s="82">
        <v>0</v>
      </c>
      <c r="AH17" s="71">
        <v>-2.8316870000000001</v>
      </c>
      <c r="AI17" s="82"/>
      <c r="AJ17" s="82">
        <v>0</v>
      </c>
      <c r="AK17" s="71">
        <v>-2.8316870000000001</v>
      </c>
      <c r="AL17" s="82"/>
      <c r="AM17" s="82">
        <v>0</v>
      </c>
      <c r="AN17" s="71">
        <v>-2.8316870000000001</v>
      </c>
      <c r="AO17" s="82"/>
      <c r="AP17" s="82">
        <v>0</v>
      </c>
      <c r="AQ17" s="71">
        <v>-2.8316870000000001</v>
      </c>
      <c r="AR17" s="82"/>
      <c r="AS17" s="82">
        <v>0</v>
      </c>
      <c r="AT17" s="71">
        <v>-2.8316870000000001</v>
      </c>
      <c r="AU17" s="82"/>
      <c r="AV17" s="82">
        <v>0</v>
      </c>
    </row>
    <row r="18" spans="1:48" s="72" customFormat="1" ht="224.4" x14ac:dyDescent="0.25">
      <c r="A18" s="69"/>
      <c r="B18" s="69" t="s">
        <v>14</v>
      </c>
      <c r="C18" s="69">
        <v>9</v>
      </c>
      <c r="D18" s="69" t="s">
        <v>74</v>
      </c>
      <c r="E18" s="69" t="s">
        <v>75</v>
      </c>
      <c r="F18" s="71" t="s">
        <v>202</v>
      </c>
      <c r="G18" s="71" t="s">
        <v>201</v>
      </c>
      <c r="H18" s="71" t="s">
        <v>201</v>
      </c>
      <c r="I18" s="71" t="s">
        <v>201</v>
      </c>
      <c r="J18" s="71" t="s">
        <v>201</v>
      </c>
      <c r="K18" s="69" t="s">
        <v>1</v>
      </c>
      <c r="L18" s="69" t="s">
        <v>2</v>
      </c>
      <c r="M18" s="69" t="s">
        <v>76</v>
      </c>
      <c r="N18" s="69" t="s">
        <v>206</v>
      </c>
      <c r="O18" s="80" t="s">
        <v>25</v>
      </c>
      <c r="P18" s="80" t="s">
        <v>207</v>
      </c>
      <c r="Q18" s="96">
        <v>43017</v>
      </c>
      <c r="S18" s="69" t="s">
        <v>16</v>
      </c>
      <c r="T18" s="69"/>
      <c r="U18" s="69" t="s">
        <v>28</v>
      </c>
      <c r="V18" s="69" t="s">
        <v>25</v>
      </c>
      <c r="W18" s="69" t="s">
        <v>9</v>
      </c>
      <c r="X18" s="69" t="s">
        <v>19</v>
      </c>
      <c r="Y18" s="69" t="s">
        <v>56</v>
      </c>
      <c r="Z18" s="69" t="s">
        <v>57</v>
      </c>
      <c r="AA18" s="69" t="s">
        <v>185</v>
      </c>
      <c r="AB18" s="69" t="s">
        <v>221</v>
      </c>
      <c r="AC18" s="69" t="s">
        <v>218</v>
      </c>
      <c r="AD18" s="69"/>
      <c r="AE18" s="82">
        <v>-1</v>
      </c>
      <c r="AF18" s="82">
        <v>0</v>
      </c>
      <c r="AG18" s="82">
        <v>-0.75</v>
      </c>
      <c r="AH18" s="82">
        <v>-8</v>
      </c>
      <c r="AI18" s="82">
        <v>0</v>
      </c>
      <c r="AJ18" s="82">
        <v>-6</v>
      </c>
      <c r="AK18" s="82">
        <v>-8</v>
      </c>
      <c r="AL18" s="82">
        <v>0</v>
      </c>
      <c r="AM18" s="82">
        <v>-6</v>
      </c>
      <c r="AN18" s="82">
        <v>-8</v>
      </c>
      <c r="AO18" s="82">
        <v>0</v>
      </c>
      <c r="AP18" s="82">
        <v>-6</v>
      </c>
      <c r="AQ18" s="82">
        <v>-8</v>
      </c>
      <c r="AR18" s="82">
        <v>0</v>
      </c>
      <c r="AS18" s="82">
        <v>-6</v>
      </c>
      <c r="AT18" s="82">
        <v>-8</v>
      </c>
      <c r="AU18" s="82">
        <v>0</v>
      </c>
      <c r="AV18" s="82">
        <v>-6</v>
      </c>
    </row>
    <row r="19" spans="1:48" s="72" customFormat="1" ht="118.8" x14ac:dyDescent="0.25">
      <c r="A19" s="69"/>
      <c r="B19" s="70" t="s">
        <v>14</v>
      </c>
      <c r="C19" s="69">
        <v>10</v>
      </c>
      <c r="D19" s="69" t="s">
        <v>77</v>
      </c>
      <c r="E19" s="69" t="s">
        <v>78</v>
      </c>
      <c r="F19" s="92">
        <v>4.7585171943968891</v>
      </c>
      <c r="G19" s="92">
        <v>27.250863237709762</v>
      </c>
      <c r="H19" s="92">
        <v>32.166298762590209</v>
      </c>
      <c r="I19" s="92">
        <v>32.83059136554985</v>
      </c>
      <c r="J19" s="92">
        <v>32.83059136554985</v>
      </c>
      <c r="K19" s="69" t="s">
        <v>1</v>
      </c>
      <c r="L19" s="69" t="s">
        <v>2</v>
      </c>
      <c r="M19" s="69" t="s">
        <v>79</v>
      </c>
      <c r="N19" s="69" t="s">
        <v>274</v>
      </c>
      <c r="O19" s="80" t="s">
        <v>24</v>
      </c>
      <c r="P19" s="80" t="s">
        <v>212</v>
      </c>
      <c r="Q19" s="96">
        <v>43017</v>
      </c>
      <c r="S19" s="69" t="s">
        <v>16</v>
      </c>
      <c r="T19" s="69"/>
      <c r="U19" s="69" t="s">
        <v>28</v>
      </c>
      <c r="V19" s="69" t="s">
        <v>24</v>
      </c>
      <c r="W19" s="69" t="s">
        <v>9</v>
      </c>
      <c r="X19" s="69" t="s">
        <v>19</v>
      </c>
      <c r="Y19" s="69" t="s">
        <v>56</v>
      </c>
      <c r="Z19" s="69" t="s">
        <v>57</v>
      </c>
      <c r="AA19" s="69" t="s">
        <v>185</v>
      </c>
      <c r="AB19" s="69" t="s">
        <v>221</v>
      </c>
      <c r="AC19" s="69" t="s">
        <v>219</v>
      </c>
      <c r="AD19" s="69"/>
      <c r="AE19" s="92">
        <v>0</v>
      </c>
      <c r="AF19" s="92">
        <v>-4.75851719439689</v>
      </c>
      <c r="AG19" s="92">
        <v>0</v>
      </c>
      <c r="AH19" s="92">
        <v>0</v>
      </c>
      <c r="AI19" s="92">
        <v>-27.250863237709801</v>
      </c>
      <c r="AJ19" s="92">
        <v>0</v>
      </c>
      <c r="AK19" s="92">
        <v>0</v>
      </c>
      <c r="AL19" s="92">
        <v>-32.166298762590202</v>
      </c>
      <c r="AM19" s="92">
        <v>0</v>
      </c>
      <c r="AN19" s="92">
        <v>0</v>
      </c>
      <c r="AO19" s="92">
        <v>-32.8305913655499</v>
      </c>
      <c r="AP19" s="92">
        <v>0</v>
      </c>
      <c r="AQ19" s="92">
        <v>0</v>
      </c>
      <c r="AR19" s="92">
        <v>-32.8305913655499</v>
      </c>
      <c r="AS19" s="92">
        <v>0</v>
      </c>
      <c r="AT19" s="92">
        <v>-36</v>
      </c>
      <c r="AU19" s="92">
        <v>-32.8305913655499</v>
      </c>
      <c r="AV19" s="92">
        <v>-26</v>
      </c>
    </row>
    <row r="20" spans="1:48" s="72" customFormat="1" ht="92.4" x14ac:dyDescent="0.25">
      <c r="A20" s="69"/>
      <c r="B20" s="70" t="s">
        <v>14</v>
      </c>
      <c r="C20" s="69">
        <v>11</v>
      </c>
      <c r="D20" s="69" t="s">
        <v>80</v>
      </c>
      <c r="E20" s="69" t="s">
        <v>81</v>
      </c>
      <c r="F20" s="71">
        <v>8.4730869035099694</v>
      </c>
      <c r="G20" s="71">
        <v>13.521825044707894</v>
      </c>
      <c r="H20" s="71">
        <v>14.25507597057879</v>
      </c>
      <c r="I20" s="71">
        <v>14.570722005056858</v>
      </c>
      <c r="J20" s="71">
        <v>15</v>
      </c>
      <c r="K20" s="69" t="s">
        <v>258</v>
      </c>
      <c r="L20" s="69" t="s">
        <v>2</v>
      </c>
      <c r="M20" s="69" t="s">
        <v>82</v>
      </c>
      <c r="N20" s="69" t="s">
        <v>269</v>
      </c>
      <c r="O20" s="80" t="s">
        <v>22</v>
      </c>
      <c r="P20" s="80" t="s">
        <v>186</v>
      </c>
      <c r="Q20" s="96">
        <v>43017</v>
      </c>
      <c r="S20" s="69" t="s">
        <v>16</v>
      </c>
      <c r="T20" s="69"/>
      <c r="U20" s="69" t="s">
        <v>55</v>
      </c>
      <c r="V20" s="69" t="s">
        <v>22</v>
      </c>
      <c r="W20" s="69" t="s">
        <v>9</v>
      </c>
      <c r="X20" s="69" t="s">
        <v>19</v>
      </c>
      <c r="Y20" s="69" t="s">
        <v>241</v>
      </c>
      <c r="Z20" s="69" t="s">
        <v>185</v>
      </c>
      <c r="AA20" s="69" t="s">
        <v>57</v>
      </c>
      <c r="AB20" s="69"/>
      <c r="AC20" s="69" t="s">
        <v>219</v>
      </c>
      <c r="AD20" s="69"/>
      <c r="AE20" s="71">
        <v>-8.4730869035099694</v>
      </c>
      <c r="AF20" s="69">
        <v>0</v>
      </c>
      <c r="AG20" s="72">
        <v>0</v>
      </c>
      <c r="AH20" s="71">
        <v>-13.521825044707894</v>
      </c>
      <c r="AI20" s="72">
        <v>0</v>
      </c>
      <c r="AJ20" s="69">
        <v>0</v>
      </c>
      <c r="AK20" s="71">
        <v>-14.25507597057879</v>
      </c>
      <c r="AL20" s="69">
        <v>0</v>
      </c>
      <c r="AM20" s="69">
        <v>0</v>
      </c>
      <c r="AN20" s="71">
        <v>-14.570722005056858</v>
      </c>
      <c r="AO20" s="69">
        <v>0</v>
      </c>
      <c r="AP20" s="69">
        <v>0</v>
      </c>
      <c r="AQ20" s="71">
        <v>-15</v>
      </c>
      <c r="AR20" s="69">
        <v>0</v>
      </c>
      <c r="AS20" s="69">
        <v>0</v>
      </c>
      <c r="AT20" s="71">
        <v>-15</v>
      </c>
      <c r="AU20" s="69">
        <v>0</v>
      </c>
      <c r="AV20" s="69">
        <v>0</v>
      </c>
    </row>
    <row r="21" spans="1:48" s="72" customFormat="1" ht="211.2" x14ac:dyDescent="0.25">
      <c r="A21" s="69"/>
      <c r="B21" s="69" t="s">
        <v>14</v>
      </c>
      <c r="C21" s="69">
        <v>12</v>
      </c>
      <c r="D21" s="69" t="s">
        <v>83</v>
      </c>
      <c r="E21" s="69" t="s">
        <v>84</v>
      </c>
      <c r="F21" s="71"/>
      <c r="G21" s="71"/>
      <c r="H21" s="71">
        <v>14</v>
      </c>
      <c r="I21" s="71">
        <v>41</v>
      </c>
      <c r="J21" s="71">
        <v>46</v>
      </c>
      <c r="K21" s="69" t="s">
        <v>1</v>
      </c>
      <c r="L21" s="69" t="s">
        <v>2</v>
      </c>
      <c r="M21" s="69" t="s">
        <v>85</v>
      </c>
      <c r="N21" s="69" t="s">
        <v>231</v>
      </c>
      <c r="O21" s="80" t="s">
        <v>22</v>
      </c>
      <c r="P21" s="80" t="s">
        <v>186</v>
      </c>
      <c r="Q21" s="96">
        <v>43017</v>
      </c>
      <c r="S21" s="69" t="s">
        <v>16</v>
      </c>
      <c r="T21" s="69"/>
      <c r="U21" s="69" t="s">
        <v>55</v>
      </c>
      <c r="V21" s="69" t="s">
        <v>22</v>
      </c>
      <c r="W21" s="69" t="s">
        <v>11</v>
      </c>
      <c r="X21" s="69" t="s">
        <v>19</v>
      </c>
      <c r="Y21" s="69" t="s">
        <v>56</v>
      </c>
      <c r="Z21" s="69" t="s">
        <v>57</v>
      </c>
      <c r="AA21" s="69" t="s">
        <v>185</v>
      </c>
      <c r="AB21" s="69" t="s">
        <v>221</v>
      </c>
      <c r="AC21" s="69" t="s">
        <v>219</v>
      </c>
      <c r="AD21" s="69"/>
      <c r="AE21" s="71">
        <v>0</v>
      </c>
      <c r="AF21" s="71">
        <v>0</v>
      </c>
      <c r="AG21" s="71">
        <v>0</v>
      </c>
      <c r="AH21" s="71">
        <v>0</v>
      </c>
      <c r="AI21" s="71">
        <v>0</v>
      </c>
      <c r="AJ21" s="71">
        <v>0</v>
      </c>
      <c r="AK21" s="71">
        <f>AL21*(1+0.1)</f>
        <v>-15.400000000000002</v>
      </c>
      <c r="AL21" s="71">
        <v>-14</v>
      </c>
      <c r="AM21" s="71">
        <f>AL21*(1-0.1)</f>
        <v>-12.6</v>
      </c>
      <c r="AN21" s="71">
        <f>AO21*(1+0.1)</f>
        <v>-45.1</v>
      </c>
      <c r="AO21" s="71">
        <v>-41</v>
      </c>
      <c r="AP21" s="71">
        <f>AO21*(1-0.1)</f>
        <v>-36.9</v>
      </c>
      <c r="AQ21" s="71">
        <f>AR21*(1+0.1)</f>
        <v>-50.6</v>
      </c>
      <c r="AR21" s="71">
        <v>-46</v>
      </c>
      <c r="AS21" s="71">
        <f>AR21*(1-0.1)</f>
        <v>-41.4</v>
      </c>
      <c r="AT21" s="71">
        <f>AU21*(1+0.1)</f>
        <v>-50.6</v>
      </c>
      <c r="AU21" s="71">
        <v>-46</v>
      </c>
      <c r="AV21" s="71">
        <f>AU21*(1-0.1)</f>
        <v>-41.4</v>
      </c>
    </row>
    <row r="22" spans="1:48" s="72" customFormat="1" ht="66" x14ac:dyDescent="0.25">
      <c r="A22" s="69"/>
      <c r="B22" s="70" t="s">
        <v>14</v>
      </c>
      <c r="C22" s="69">
        <v>13</v>
      </c>
      <c r="D22" s="69" t="s">
        <v>86</v>
      </c>
      <c r="E22" s="69" t="s">
        <v>87</v>
      </c>
      <c r="F22" s="71"/>
      <c r="G22" s="71"/>
      <c r="H22" s="71"/>
      <c r="I22" s="71">
        <v>4</v>
      </c>
      <c r="J22" s="71">
        <v>4</v>
      </c>
      <c r="K22" s="69" t="s">
        <v>1</v>
      </c>
      <c r="L22" s="69" t="s">
        <v>2</v>
      </c>
      <c r="M22" s="69" t="s">
        <v>88</v>
      </c>
      <c r="N22" s="69" t="s">
        <v>244</v>
      </c>
      <c r="O22" s="80" t="s">
        <v>22</v>
      </c>
      <c r="P22" s="80" t="s">
        <v>186</v>
      </c>
      <c r="Q22" s="96">
        <v>43017</v>
      </c>
      <c r="S22" s="69" t="s">
        <v>16</v>
      </c>
      <c r="T22" s="69"/>
      <c r="U22" s="69" t="s">
        <v>55</v>
      </c>
      <c r="V22" s="69"/>
      <c r="W22" s="69" t="s">
        <v>9</v>
      </c>
      <c r="X22" s="69" t="s">
        <v>19</v>
      </c>
      <c r="Y22" s="69" t="s">
        <v>56</v>
      </c>
      <c r="Z22" s="69" t="s">
        <v>57</v>
      </c>
      <c r="AA22" s="69" t="s">
        <v>57</v>
      </c>
      <c r="AB22" s="69"/>
      <c r="AC22" s="69" t="s">
        <v>217</v>
      </c>
      <c r="AD22" s="69"/>
      <c r="AE22" s="69"/>
      <c r="AF22" s="69"/>
      <c r="AG22" s="69"/>
      <c r="AH22" s="69"/>
      <c r="AI22" s="69"/>
      <c r="AJ22" s="69"/>
      <c r="AK22" s="69"/>
      <c r="AL22" s="69"/>
      <c r="AM22" s="69"/>
      <c r="AN22" s="69"/>
      <c r="AO22" s="69">
        <v>-4</v>
      </c>
      <c r="AP22" s="69"/>
      <c r="AQ22" s="69"/>
      <c r="AR22" s="69">
        <v>-4</v>
      </c>
      <c r="AS22" s="69"/>
      <c r="AT22" s="69"/>
      <c r="AU22" s="69">
        <v>-4</v>
      </c>
      <c r="AV22" s="69"/>
    </row>
    <row r="23" spans="1:48" s="84" customFormat="1" ht="118.8" x14ac:dyDescent="0.25">
      <c r="A23" s="50"/>
      <c r="B23" s="49" t="s">
        <v>14</v>
      </c>
      <c r="C23" s="50">
        <v>14</v>
      </c>
      <c r="D23" s="50" t="s">
        <v>89</v>
      </c>
      <c r="E23" s="50" t="s">
        <v>90</v>
      </c>
      <c r="F23" s="76">
        <v>0.1</v>
      </c>
      <c r="G23" s="76">
        <v>0.1</v>
      </c>
      <c r="H23" s="76">
        <v>0.2</v>
      </c>
      <c r="I23" s="76">
        <v>0.2</v>
      </c>
      <c r="J23" s="76">
        <v>0.2</v>
      </c>
      <c r="K23" s="50" t="s">
        <v>1</v>
      </c>
      <c r="L23" s="50" t="s">
        <v>2</v>
      </c>
      <c r="M23" s="50" t="s">
        <v>54</v>
      </c>
      <c r="N23" s="50" t="s">
        <v>199</v>
      </c>
      <c r="O23" s="81" t="s">
        <v>21</v>
      </c>
      <c r="P23" s="81" t="s">
        <v>207</v>
      </c>
      <c r="Q23" s="81"/>
      <c r="S23" s="50" t="s">
        <v>20</v>
      </c>
      <c r="T23" s="50" t="s">
        <v>223</v>
      </c>
      <c r="U23" s="50" t="s">
        <v>55</v>
      </c>
      <c r="V23" s="50"/>
      <c r="W23" s="50" t="s">
        <v>9</v>
      </c>
      <c r="X23" s="50" t="s">
        <v>19</v>
      </c>
      <c r="Y23" s="50" t="s">
        <v>56</v>
      </c>
      <c r="Z23" s="50" t="s">
        <v>57</v>
      </c>
      <c r="AA23" s="50" t="s">
        <v>57</v>
      </c>
      <c r="AB23" s="50"/>
      <c r="AC23" s="50"/>
      <c r="AD23" s="50"/>
      <c r="AE23" s="50"/>
      <c r="AF23" s="50"/>
      <c r="AG23" s="50"/>
      <c r="AH23" s="50"/>
      <c r="AI23" s="50"/>
      <c r="AJ23" s="50"/>
      <c r="AK23" s="50"/>
      <c r="AL23" s="50"/>
      <c r="AM23" s="50"/>
      <c r="AN23" s="50"/>
      <c r="AO23" s="50"/>
      <c r="AP23" s="50"/>
      <c r="AQ23" s="50"/>
      <c r="AR23" s="50"/>
      <c r="AS23" s="50"/>
      <c r="AT23" s="50"/>
      <c r="AU23" s="50"/>
      <c r="AV23" s="50"/>
    </row>
    <row r="24" spans="1:48" s="84" customFormat="1" ht="26.4" x14ac:dyDescent="0.25">
      <c r="A24" s="50"/>
      <c r="B24" s="49" t="s">
        <v>14</v>
      </c>
      <c r="C24" s="50">
        <v>15</v>
      </c>
      <c r="D24" s="50" t="s">
        <v>91</v>
      </c>
      <c r="E24" s="50" t="s">
        <v>92</v>
      </c>
      <c r="F24" s="51"/>
      <c r="G24" s="51"/>
      <c r="H24" s="51"/>
      <c r="I24" s="51"/>
      <c r="J24" s="51"/>
      <c r="K24" s="50" t="s">
        <v>1</v>
      </c>
      <c r="L24" s="50" t="s">
        <v>2</v>
      </c>
      <c r="M24" s="50" t="s">
        <v>54</v>
      </c>
      <c r="N24" s="50"/>
      <c r="O24" s="81"/>
      <c r="P24" s="81"/>
      <c r="Q24" s="81"/>
      <c r="S24" s="50" t="s">
        <v>20</v>
      </c>
      <c r="T24" s="50"/>
      <c r="U24" s="50" t="s">
        <v>55</v>
      </c>
      <c r="V24" s="50"/>
      <c r="W24" s="50" t="s">
        <v>9</v>
      </c>
      <c r="X24" s="50" t="s">
        <v>19</v>
      </c>
      <c r="Y24" s="50" t="s">
        <v>56</v>
      </c>
      <c r="Z24" s="50" t="s">
        <v>57</v>
      </c>
      <c r="AA24" s="50" t="s">
        <v>57</v>
      </c>
      <c r="AB24" s="50"/>
      <c r="AC24" s="50"/>
      <c r="AD24" s="50"/>
      <c r="AE24" s="50"/>
      <c r="AF24" s="50"/>
      <c r="AG24" s="50"/>
      <c r="AH24" s="50"/>
      <c r="AI24" s="50"/>
      <c r="AJ24" s="50"/>
      <c r="AK24" s="50"/>
      <c r="AL24" s="50"/>
      <c r="AM24" s="50"/>
      <c r="AN24" s="50"/>
      <c r="AO24" s="50"/>
      <c r="AP24" s="50"/>
      <c r="AQ24" s="50"/>
      <c r="AR24" s="50"/>
      <c r="AS24" s="50"/>
      <c r="AT24" s="50"/>
      <c r="AU24" s="50"/>
      <c r="AV24" s="50"/>
    </row>
    <row r="25" spans="1:48" s="84" customFormat="1" ht="52.8" x14ac:dyDescent="0.25">
      <c r="A25" s="50"/>
      <c r="B25" s="49" t="s">
        <v>14</v>
      </c>
      <c r="C25" s="50">
        <v>16</v>
      </c>
      <c r="D25" s="50" t="s">
        <v>93</v>
      </c>
      <c r="E25" s="50" t="s">
        <v>94</v>
      </c>
      <c r="F25" s="51"/>
      <c r="G25" s="51"/>
      <c r="H25" s="51"/>
      <c r="I25" s="51"/>
      <c r="J25" s="51"/>
      <c r="K25" s="50" t="s">
        <v>2</v>
      </c>
      <c r="L25" s="50" t="s">
        <v>2</v>
      </c>
      <c r="M25" s="50" t="s">
        <v>54</v>
      </c>
      <c r="N25" s="50"/>
      <c r="O25" s="81"/>
      <c r="P25" s="81"/>
      <c r="Q25" s="81"/>
      <c r="S25" s="50" t="s">
        <v>20</v>
      </c>
      <c r="T25" s="50"/>
      <c r="U25" s="50" t="s">
        <v>55</v>
      </c>
      <c r="V25" s="50"/>
      <c r="W25" s="50" t="s">
        <v>9</v>
      </c>
      <c r="X25" s="50" t="s">
        <v>19</v>
      </c>
      <c r="Y25" s="50" t="s">
        <v>56</v>
      </c>
      <c r="Z25" s="50" t="s">
        <v>57</v>
      </c>
      <c r="AA25" s="50" t="s">
        <v>57</v>
      </c>
      <c r="AB25" s="50"/>
      <c r="AC25" s="50"/>
      <c r="AD25" s="50"/>
      <c r="AE25" s="50"/>
      <c r="AF25" s="50"/>
      <c r="AG25" s="50"/>
      <c r="AH25" s="50"/>
      <c r="AI25" s="50"/>
      <c r="AJ25" s="50"/>
      <c r="AK25" s="50"/>
      <c r="AL25" s="50"/>
      <c r="AM25" s="50"/>
      <c r="AN25" s="50"/>
      <c r="AO25" s="50"/>
      <c r="AP25" s="50"/>
      <c r="AQ25" s="50"/>
      <c r="AR25" s="50"/>
      <c r="AS25" s="50"/>
      <c r="AT25" s="50"/>
      <c r="AU25" s="50"/>
      <c r="AV25" s="50"/>
    </row>
    <row r="26" spans="1:48" s="84" customFormat="1" ht="26.4" x14ac:dyDescent="0.25">
      <c r="A26" s="50"/>
      <c r="B26" s="49" t="s">
        <v>14</v>
      </c>
      <c r="C26" s="50">
        <v>17</v>
      </c>
      <c r="D26" s="50" t="s">
        <v>95</v>
      </c>
      <c r="E26" s="50" t="s">
        <v>96</v>
      </c>
      <c r="F26" s="51"/>
      <c r="G26" s="51"/>
      <c r="H26" s="51"/>
      <c r="I26" s="51"/>
      <c r="J26" s="51"/>
      <c r="K26" s="50" t="s">
        <v>2</v>
      </c>
      <c r="L26" s="50" t="s">
        <v>2</v>
      </c>
      <c r="M26" s="50" t="s">
        <v>97</v>
      </c>
      <c r="N26" s="50"/>
      <c r="O26" s="81"/>
      <c r="P26" s="81"/>
      <c r="Q26" s="81"/>
      <c r="S26" s="50" t="s">
        <v>20</v>
      </c>
      <c r="T26" s="50"/>
      <c r="U26" s="50" t="s">
        <v>55</v>
      </c>
      <c r="V26" s="50"/>
      <c r="W26" s="50" t="s">
        <v>9</v>
      </c>
      <c r="X26" s="50" t="s">
        <v>19</v>
      </c>
      <c r="Y26" s="50" t="s">
        <v>56</v>
      </c>
      <c r="Z26" s="50" t="s">
        <v>57</v>
      </c>
      <c r="AA26" s="50" t="s">
        <v>57</v>
      </c>
      <c r="AB26" s="50"/>
      <c r="AC26" s="50"/>
      <c r="AD26" s="50"/>
      <c r="AE26" s="50"/>
      <c r="AF26" s="50"/>
      <c r="AG26" s="50"/>
      <c r="AH26" s="50"/>
      <c r="AI26" s="50"/>
      <c r="AJ26" s="50"/>
      <c r="AK26" s="50"/>
      <c r="AL26" s="50"/>
      <c r="AM26" s="50"/>
      <c r="AN26" s="50"/>
      <c r="AO26" s="50"/>
      <c r="AP26" s="50"/>
      <c r="AQ26" s="50"/>
      <c r="AR26" s="50"/>
      <c r="AS26" s="50"/>
      <c r="AT26" s="50"/>
      <c r="AU26" s="50"/>
      <c r="AV26" s="50"/>
    </row>
    <row r="27" spans="1:48" s="84" customFormat="1" ht="79.2" x14ac:dyDescent="0.25">
      <c r="A27" s="50"/>
      <c r="B27" s="49" t="s">
        <v>14</v>
      </c>
      <c r="C27" s="50">
        <v>18</v>
      </c>
      <c r="D27" s="50" t="s">
        <v>98</v>
      </c>
      <c r="E27" s="50" t="s">
        <v>99</v>
      </c>
      <c r="F27" s="51"/>
      <c r="G27" s="51"/>
      <c r="H27" s="51"/>
      <c r="I27" s="51"/>
      <c r="J27" s="51"/>
      <c r="K27" s="50" t="s">
        <v>2</v>
      </c>
      <c r="L27" s="50" t="s">
        <v>2</v>
      </c>
      <c r="M27" s="50" t="s">
        <v>54</v>
      </c>
      <c r="N27" s="50"/>
      <c r="O27" s="81"/>
      <c r="P27" s="81"/>
      <c r="Q27" s="81"/>
      <c r="S27" s="50" t="s">
        <v>20</v>
      </c>
      <c r="T27" s="50"/>
      <c r="U27" s="50" t="s">
        <v>55</v>
      </c>
      <c r="V27" s="50"/>
      <c r="W27" s="50" t="s">
        <v>9</v>
      </c>
      <c r="X27" s="50" t="s">
        <v>19</v>
      </c>
      <c r="Y27" s="50" t="s">
        <v>56</v>
      </c>
      <c r="Z27" s="50" t="s">
        <v>57</v>
      </c>
      <c r="AA27" s="50" t="s">
        <v>57</v>
      </c>
      <c r="AB27" s="50"/>
      <c r="AC27" s="50"/>
      <c r="AD27" s="50"/>
      <c r="AE27" s="50"/>
      <c r="AF27" s="50"/>
      <c r="AG27" s="50"/>
      <c r="AH27" s="50"/>
      <c r="AI27" s="50"/>
      <c r="AJ27" s="50"/>
      <c r="AK27" s="50"/>
      <c r="AL27" s="50"/>
      <c r="AM27" s="50"/>
      <c r="AN27" s="50"/>
      <c r="AO27" s="50"/>
      <c r="AP27" s="50"/>
      <c r="AQ27" s="50"/>
      <c r="AR27" s="50"/>
      <c r="AS27" s="50"/>
      <c r="AT27" s="50"/>
      <c r="AU27" s="50"/>
      <c r="AV27" s="50"/>
    </row>
    <row r="28" spans="1:48" s="72" customFormat="1" ht="118.8" x14ac:dyDescent="0.25">
      <c r="A28" s="69"/>
      <c r="B28" s="70" t="s">
        <v>14</v>
      </c>
      <c r="C28" s="69">
        <v>19</v>
      </c>
      <c r="D28" s="69" t="s">
        <v>100</v>
      </c>
      <c r="E28" s="69" t="s">
        <v>101</v>
      </c>
      <c r="F28" s="71"/>
      <c r="G28" s="71">
        <v>5</v>
      </c>
      <c r="H28" s="71"/>
      <c r="I28" s="71"/>
      <c r="J28" s="71"/>
      <c r="K28" s="69" t="s">
        <v>261</v>
      </c>
      <c r="L28" s="69" t="s">
        <v>2</v>
      </c>
      <c r="M28" s="69" t="s">
        <v>54</v>
      </c>
      <c r="N28" s="69" t="s">
        <v>265</v>
      </c>
      <c r="O28" s="80" t="s">
        <v>22</v>
      </c>
      <c r="P28" s="80" t="s">
        <v>186</v>
      </c>
      <c r="Q28" s="96">
        <v>43017</v>
      </c>
      <c r="S28" s="69" t="s">
        <v>16</v>
      </c>
      <c r="T28" s="69"/>
      <c r="U28" s="69" t="s">
        <v>55</v>
      </c>
      <c r="V28" s="69" t="s">
        <v>22</v>
      </c>
      <c r="W28" s="69" t="s">
        <v>9</v>
      </c>
      <c r="X28" s="69" t="s">
        <v>19</v>
      </c>
      <c r="Y28" s="69" t="s">
        <v>241</v>
      </c>
      <c r="Z28" s="69" t="s">
        <v>185</v>
      </c>
      <c r="AA28" s="69" t="s">
        <v>57</v>
      </c>
      <c r="AB28" s="69"/>
      <c r="AC28" s="69" t="s">
        <v>219</v>
      </c>
      <c r="AD28" s="69"/>
      <c r="AE28" s="69"/>
      <c r="AF28" s="69"/>
      <c r="AG28" s="69"/>
      <c r="AH28" s="69">
        <v>-5</v>
      </c>
      <c r="AI28" s="69">
        <v>0</v>
      </c>
      <c r="AJ28" s="69">
        <v>0</v>
      </c>
      <c r="AK28" s="69"/>
      <c r="AL28" s="69"/>
      <c r="AM28" s="69"/>
      <c r="AN28" s="69"/>
      <c r="AO28" s="69"/>
      <c r="AP28" s="69"/>
      <c r="AQ28" s="69"/>
      <c r="AR28" s="69"/>
      <c r="AS28" s="69"/>
      <c r="AT28" s="69"/>
      <c r="AU28" s="69"/>
      <c r="AV28" s="69"/>
    </row>
    <row r="29" spans="1:48" s="72" customFormat="1" ht="105.6" x14ac:dyDescent="0.25">
      <c r="A29" s="69"/>
      <c r="B29" s="70" t="s">
        <v>14</v>
      </c>
      <c r="C29" s="69">
        <v>20</v>
      </c>
      <c r="D29" s="69" t="s">
        <v>102</v>
      </c>
      <c r="E29" s="69" t="s">
        <v>103</v>
      </c>
      <c r="F29" s="71"/>
      <c r="G29" s="71">
        <v>1.7887949999999999</v>
      </c>
      <c r="H29" s="71">
        <v>2.706105</v>
      </c>
      <c r="I29" s="71">
        <v>2.706105</v>
      </c>
      <c r="J29" s="71">
        <v>2.706105</v>
      </c>
      <c r="K29" s="69" t="s">
        <v>2</v>
      </c>
      <c r="L29" s="69" t="s">
        <v>2</v>
      </c>
      <c r="M29" s="69" t="s">
        <v>54</v>
      </c>
      <c r="N29" s="69" t="s">
        <v>249</v>
      </c>
      <c r="O29" s="80" t="s">
        <v>247</v>
      </c>
      <c r="P29" s="80" t="s">
        <v>248</v>
      </c>
      <c r="Q29" s="96">
        <v>43017</v>
      </c>
      <c r="S29" s="69" t="s">
        <v>16</v>
      </c>
      <c r="T29" s="69"/>
      <c r="U29" s="69" t="s">
        <v>28</v>
      </c>
      <c r="V29" s="80" t="s">
        <v>247</v>
      </c>
      <c r="W29" s="69" t="s">
        <v>11</v>
      </c>
      <c r="X29" s="69" t="s">
        <v>19</v>
      </c>
      <c r="Y29" s="69" t="s">
        <v>56</v>
      </c>
      <c r="Z29" s="69" t="s">
        <v>57</v>
      </c>
      <c r="AA29" s="69" t="s">
        <v>185</v>
      </c>
      <c r="AB29" s="69" t="s">
        <v>221</v>
      </c>
      <c r="AC29" s="69" t="s">
        <v>219</v>
      </c>
      <c r="AD29" s="69"/>
      <c r="AE29" s="69"/>
      <c r="AF29" s="69"/>
      <c r="AG29" s="69"/>
      <c r="AH29" s="71">
        <f>AI29*(1+0.5)</f>
        <v>-2.6831924999999996</v>
      </c>
      <c r="AI29" s="71">
        <v>-1.7887949999999999</v>
      </c>
      <c r="AJ29" s="71">
        <f>AI29*(1-0.5)</f>
        <v>-0.89439749999999996</v>
      </c>
      <c r="AK29" s="71">
        <f>AL29*(1+0.5)</f>
        <v>-4.0591574999999995</v>
      </c>
      <c r="AL29" s="71">
        <v>-2.706105</v>
      </c>
      <c r="AM29" s="71">
        <f>AL29*(1-0.5)</f>
        <v>-1.3530525</v>
      </c>
      <c r="AN29" s="71">
        <f>AO29*(1+0.5)</f>
        <v>-4.0591574999999995</v>
      </c>
      <c r="AO29" s="71">
        <v>-2.706105</v>
      </c>
      <c r="AP29" s="71">
        <f>AO29*(1-0.5)</f>
        <v>-1.3530525</v>
      </c>
      <c r="AQ29" s="71">
        <f>AR29*(1+0.5)</f>
        <v>-4.0591574999999995</v>
      </c>
      <c r="AR29" s="71">
        <v>-2.706105</v>
      </c>
      <c r="AS29" s="71">
        <f>AR29*(1-0.5)</f>
        <v>-1.3530525</v>
      </c>
      <c r="AT29" s="71">
        <f>AU29*(1+0.5)</f>
        <v>-4.0591574999999995</v>
      </c>
      <c r="AU29" s="71">
        <v>-2.706105</v>
      </c>
      <c r="AV29" s="71">
        <f>AU29*(1-0.5)</f>
        <v>-1.3530525</v>
      </c>
    </row>
    <row r="30" spans="1:48" s="84" customFormat="1" ht="79.2" x14ac:dyDescent="0.25">
      <c r="A30" s="50"/>
      <c r="B30" s="49" t="s">
        <v>14</v>
      </c>
      <c r="C30" s="50">
        <v>21</v>
      </c>
      <c r="D30" s="50" t="s">
        <v>104</v>
      </c>
      <c r="E30" s="50" t="s">
        <v>105</v>
      </c>
      <c r="F30" s="51"/>
      <c r="G30" s="51"/>
      <c r="H30" s="51"/>
      <c r="I30" s="51"/>
      <c r="J30" s="51"/>
      <c r="K30" s="50" t="s">
        <v>2</v>
      </c>
      <c r="L30" s="50" t="s">
        <v>2</v>
      </c>
      <c r="M30" s="50" t="s">
        <v>54</v>
      </c>
      <c r="N30" s="50"/>
      <c r="O30" s="81"/>
      <c r="P30" s="81"/>
      <c r="Q30" s="81"/>
      <c r="S30" s="50" t="s">
        <v>20</v>
      </c>
      <c r="T30" s="50"/>
      <c r="U30" s="50" t="s">
        <v>55</v>
      </c>
      <c r="V30" s="50"/>
      <c r="W30" s="50" t="s">
        <v>9</v>
      </c>
      <c r="X30" s="50" t="s">
        <v>19</v>
      </c>
      <c r="Y30" s="50" t="s">
        <v>56</v>
      </c>
      <c r="Z30" s="50" t="s">
        <v>57</v>
      </c>
      <c r="AA30" s="50" t="s">
        <v>57</v>
      </c>
      <c r="AB30" s="50"/>
      <c r="AC30" s="50"/>
      <c r="AD30" s="50"/>
      <c r="AE30" s="50"/>
      <c r="AF30" s="50"/>
      <c r="AG30" s="50"/>
      <c r="AH30" s="50"/>
      <c r="AI30" s="50"/>
      <c r="AJ30" s="50"/>
      <c r="AK30" s="50"/>
      <c r="AL30" s="50"/>
      <c r="AM30" s="50"/>
      <c r="AN30" s="50"/>
      <c r="AO30" s="50"/>
      <c r="AP30" s="50"/>
      <c r="AQ30" s="50"/>
      <c r="AR30" s="50"/>
      <c r="AS30" s="50"/>
      <c r="AT30" s="50"/>
      <c r="AU30" s="50"/>
      <c r="AV30" s="50"/>
    </row>
    <row r="31" spans="1:48" s="84" customFormat="1" ht="39.6" x14ac:dyDescent="0.25">
      <c r="A31" s="50"/>
      <c r="B31" s="49" t="s">
        <v>14</v>
      </c>
      <c r="C31" s="50">
        <v>22</v>
      </c>
      <c r="D31" s="50" t="s">
        <v>106</v>
      </c>
      <c r="E31" s="50" t="s">
        <v>107</v>
      </c>
      <c r="F31" s="51"/>
      <c r="G31" s="51"/>
      <c r="H31" s="51"/>
      <c r="I31" s="51"/>
      <c r="J31" s="51"/>
      <c r="K31" s="50" t="s">
        <v>2</v>
      </c>
      <c r="L31" s="50" t="s">
        <v>2</v>
      </c>
      <c r="M31" s="50" t="s">
        <v>54</v>
      </c>
      <c r="N31" s="50"/>
      <c r="O31" s="81"/>
      <c r="P31" s="81"/>
      <c r="Q31" s="81"/>
      <c r="S31" s="50" t="s">
        <v>20</v>
      </c>
      <c r="T31" s="50"/>
      <c r="U31" s="50" t="s">
        <v>55</v>
      </c>
      <c r="V31" s="50"/>
      <c r="W31" s="50" t="s">
        <v>9</v>
      </c>
      <c r="X31" s="50" t="s">
        <v>19</v>
      </c>
      <c r="Y31" s="50" t="s">
        <v>56</v>
      </c>
      <c r="Z31" s="50" t="s">
        <v>57</v>
      </c>
      <c r="AA31" s="50" t="s">
        <v>57</v>
      </c>
      <c r="AB31" s="50"/>
      <c r="AC31" s="50"/>
      <c r="AD31" s="50"/>
      <c r="AE31" s="50"/>
      <c r="AF31" s="50"/>
      <c r="AG31" s="50"/>
      <c r="AH31" s="50"/>
      <c r="AI31" s="50"/>
      <c r="AJ31" s="50"/>
      <c r="AK31" s="50"/>
      <c r="AL31" s="50"/>
      <c r="AM31" s="50"/>
      <c r="AN31" s="50"/>
      <c r="AO31" s="50"/>
      <c r="AP31" s="50"/>
      <c r="AQ31" s="50"/>
      <c r="AR31" s="50"/>
      <c r="AS31" s="50"/>
      <c r="AT31" s="50"/>
      <c r="AU31" s="50"/>
      <c r="AV31" s="50"/>
    </row>
    <row r="32" spans="1:48" s="72" customFormat="1" ht="132" x14ac:dyDescent="0.25">
      <c r="A32" s="69"/>
      <c r="B32" s="70" t="s">
        <v>14</v>
      </c>
      <c r="C32" s="69">
        <v>23</v>
      </c>
      <c r="D32" s="69" t="s">
        <v>108</v>
      </c>
      <c r="E32" s="69" t="s">
        <v>109</v>
      </c>
      <c r="F32" s="71">
        <v>1.5586922454622587</v>
      </c>
      <c r="G32" s="71">
        <v>11.456364382581002</v>
      </c>
      <c r="H32" s="71">
        <v>18.351002263261051</v>
      </c>
      <c r="I32" s="71">
        <v>21.572538878087279</v>
      </c>
      <c r="J32" s="71">
        <v>22.989255403814745</v>
      </c>
      <c r="K32" s="69" t="s">
        <v>2</v>
      </c>
      <c r="L32" s="69" t="s">
        <v>2</v>
      </c>
      <c r="M32" s="69" t="s">
        <v>54</v>
      </c>
      <c r="N32" s="69" t="s">
        <v>263</v>
      </c>
      <c r="O32" s="80" t="s">
        <v>22</v>
      </c>
      <c r="P32" s="80" t="s">
        <v>211</v>
      </c>
      <c r="Q32" s="96">
        <v>43017</v>
      </c>
      <c r="S32" s="69" t="s">
        <v>16</v>
      </c>
      <c r="T32" s="69"/>
      <c r="U32" s="69" t="s">
        <v>28</v>
      </c>
      <c r="V32" s="69" t="s">
        <v>22</v>
      </c>
      <c r="W32" s="69" t="s">
        <v>11</v>
      </c>
      <c r="X32" s="69" t="s">
        <v>19</v>
      </c>
      <c r="Y32" s="69" t="s">
        <v>56</v>
      </c>
      <c r="Z32" s="69" t="s">
        <v>57</v>
      </c>
      <c r="AA32" s="69" t="s">
        <v>185</v>
      </c>
      <c r="AB32" s="69" t="s">
        <v>221</v>
      </c>
      <c r="AC32" s="69" t="s">
        <v>218</v>
      </c>
      <c r="AD32" s="69"/>
      <c r="AE32" s="71">
        <v>-1.55869224546226</v>
      </c>
      <c r="AF32" s="71">
        <v>0</v>
      </c>
      <c r="AG32" s="71">
        <v>0</v>
      </c>
      <c r="AH32" s="71">
        <v>-11.456364382581</v>
      </c>
      <c r="AI32" s="71">
        <v>0</v>
      </c>
      <c r="AJ32" s="71">
        <v>0</v>
      </c>
      <c r="AK32" s="71">
        <v>-18.351002263261101</v>
      </c>
      <c r="AL32" s="71">
        <v>0</v>
      </c>
      <c r="AM32" s="71">
        <v>0</v>
      </c>
      <c r="AN32" s="71">
        <v>-21.5725388780873</v>
      </c>
      <c r="AO32" s="71">
        <v>0</v>
      </c>
      <c r="AP32" s="71">
        <v>0</v>
      </c>
      <c r="AQ32" s="71">
        <v>-22.989255403814699</v>
      </c>
      <c r="AR32" s="71">
        <v>0</v>
      </c>
      <c r="AS32" s="71">
        <v>0</v>
      </c>
      <c r="AT32" s="71">
        <v>-22.989255403814699</v>
      </c>
      <c r="AU32" s="71">
        <v>0</v>
      </c>
      <c r="AV32" s="71">
        <v>0</v>
      </c>
    </row>
    <row r="33" spans="1:48" s="72" customFormat="1" ht="171.6" x14ac:dyDescent="0.25">
      <c r="A33" s="69"/>
      <c r="B33" s="70" t="s">
        <v>14</v>
      </c>
      <c r="C33" s="69">
        <v>24</v>
      </c>
      <c r="D33" s="69" t="s">
        <v>110</v>
      </c>
      <c r="E33" s="69" t="s">
        <v>111</v>
      </c>
      <c r="F33" s="71"/>
      <c r="G33" s="71" t="s">
        <v>203</v>
      </c>
      <c r="H33" s="71" t="s">
        <v>204</v>
      </c>
      <c r="I33" s="71" t="s">
        <v>205</v>
      </c>
      <c r="J33" s="71" t="s">
        <v>205</v>
      </c>
      <c r="K33" s="69" t="s">
        <v>2</v>
      </c>
      <c r="L33" s="69" t="s">
        <v>2</v>
      </c>
      <c r="M33" s="69" t="s">
        <v>54</v>
      </c>
      <c r="N33" s="69" t="s">
        <v>262</v>
      </c>
      <c r="O33" s="80" t="s">
        <v>22</v>
      </c>
      <c r="P33" s="80" t="s">
        <v>207</v>
      </c>
      <c r="Q33" s="96">
        <v>43017</v>
      </c>
      <c r="S33" s="69" t="s">
        <v>16</v>
      </c>
      <c r="T33" s="69"/>
      <c r="U33" s="69" t="s">
        <v>55</v>
      </c>
      <c r="V33" s="69" t="s">
        <v>22</v>
      </c>
      <c r="W33" s="69" t="s">
        <v>9</v>
      </c>
      <c r="X33" s="69" t="s">
        <v>19</v>
      </c>
      <c r="Y33" s="69" t="s">
        <v>56</v>
      </c>
      <c r="Z33" s="69" t="s">
        <v>57</v>
      </c>
      <c r="AA33" s="69" t="s">
        <v>185</v>
      </c>
      <c r="AB33" s="69" t="s">
        <v>221</v>
      </c>
      <c r="AC33" s="69" t="s">
        <v>218</v>
      </c>
      <c r="AD33" s="69"/>
      <c r="AE33" s="69">
        <v>0</v>
      </c>
      <c r="AF33" s="69">
        <v>0</v>
      </c>
      <c r="AG33" s="69">
        <v>0</v>
      </c>
      <c r="AH33" s="69">
        <v>-4</v>
      </c>
      <c r="AI33" s="69">
        <v>0</v>
      </c>
      <c r="AJ33" s="69">
        <v>-3</v>
      </c>
      <c r="AK33" s="69">
        <v>-4</v>
      </c>
      <c r="AL33" s="69">
        <v>0</v>
      </c>
      <c r="AM33" s="69">
        <v>-5</v>
      </c>
      <c r="AN33" s="69">
        <v>-6</v>
      </c>
      <c r="AO33" s="69">
        <v>0</v>
      </c>
      <c r="AP33" s="69">
        <v>-5</v>
      </c>
      <c r="AQ33" s="69">
        <v>-6</v>
      </c>
      <c r="AR33" s="69">
        <v>0</v>
      </c>
      <c r="AS33" s="69">
        <v>-5</v>
      </c>
      <c r="AT33" s="69">
        <v>-6</v>
      </c>
      <c r="AU33" s="69">
        <v>0</v>
      </c>
      <c r="AV33" s="69">
        <v>-5</v>
      </c>
    </row>
    <row r="34" spans="1:48" s="72" customFormat="1" ht="145.19999999999999" x14ac:dyDescent="0.25">
      <c r="A34" s="69"/>
      <c r="B34" s="70" t="s">
        <v>13</v>
      </c>
      <c r="C34" s="69">
        <v>1</v>
      </c>
      <c r="D34" s="69" t="s">
        <v>192</v>
      </c>
      <c r="E34" s="69" t="s">
        <v>193</v>
      </c>
      <c r="F34" s="71">
        <v>17</v>
      </c>
      <c r="G34" s="71">
        <v>30</v>
      </c>
      <c r="H34" s="71">
        <v>38</v>
      </c>
      <c r="I34" s="71">
        <v>39</v>
      </c>
      <c r="J34" s="71">
        <v>41</v>
      </c>
      <c r="K34" s="69" t="s">
        <v>260</v>
      </c>
      <c r="L34" s="69" t="s">
        <v>1</v>
      </c>
      <c r="M34" s="69" t="s">
        <v>194</v>
      </c>
      <c r="N34" s="69" t="s">
        <v>271</v>
      </c>
      <c r="O34" s="80" t="s">
        <v>22</v>
      </c>
      <c r="P34" s="80" t="s">
        <v>186</v>
      </c>
      <c r="Q34" s="96">
        <v>43017</v>
      </c>
      <c r="S34" s="69" t="s">
        <v>16</v>
      </c>
      <c r="T34" s="69"/>
      <c r="U34" s="69" t="s">
        <v>55</v>
      </c>
      <c r="V34" s="69" t="s">
        <v>22</v>
      </c>
      <c r="W34" s="69" t="s">
        <v>9</v>
      </c>
      <c r="X34" s="69" t="s">
        <v>19</v>
      </c>
      <c r="Y34" s="69" t="s">
        <v>56</v>
      </c>
      <c r="Z34" s="69" t="s">
        <v>57</v>
      </c>
      <c r="AA34" s="69" t="s">
        <v>57</v>
      </c>
      <c r="AB34" s="69"/>
      <c r="AC34" s="69" t="s">
        <v>218</v>
      </c>
      <c r="AD34" s="69"/>
      <c r="AE34" s="69">
        <v>0</v>
      </c>
      <c r="AF34" s="69">
        <v>0</v>
      </c>
      <c r="AG34" s="71">
        <v>17</v>
      </c>
      <c r="AH34" s="69">
        <v>0</v>
      </c>
      <c r="AI34" s="69">
        <v>0</v>
      </c>
      <c r="AJ34" s="71">
        <v>30</v>
      </c>
      <c r="AK34" s="69">
        <v>0</v>
      </c>
      <c r="AL34" s="69">
        <v>0</v>
      </c>
      <c r="AM34" s="71">
        <v>38</v>
      </c>
      <c r="AN34" s="69">
        <v>0</v>
      </c>
      <c r="AO34" s="69">
        <v>0</v>
      </c>
      <c r="AP34" s="71">
        <v>39</v>
      </c>
      <c r="AQ34" s="69">
        <v>0</v>
      </c>
      <c r="AR34" s="69">
        <v>0</v>
      </c>
      <c r="AS34" s="71">
        <v>41</v>
      </c>
      <c r="AT34" s="69">
        <v>0</v>
      </c>
      <c r="AU34" s="69">
        <v>0</v>
      </c>
      <c r="AV34" s="71">
        <v>41</v>
      </c>
    </row>
    <row r="35" spans="1:48" s="72" customFormat="1" ht="52.8" x14ac:dyDescent="0.25">
      <c r="A35" s="69"/>
      <c r="B35" s="70" t="s">
        <v>13</v>
      </c>
      <c r="C35" s="69">
        <v>2</v>
      </c>
      <c r="D35" s="69" t="s">
        <v>112</v>
      </c>
      <c r="E35" s="69" t="s">
        <v>113</v>
      </c>
      <c r="F35" s="71">
        <v>0.5</v>
      </c>
      <c r="G35" s="71"/>
      <c r="H35" s="71"/>
      <c r="I35" s="71"/>
      <c r="J35" s="71"/>
      <c r="K35" s="69" t="s">
        <v>0</v>
      </c>
      <c r="L35" s="69" t="s">
        <v>1</v>
      </c>
      <c r="M35" s="69" t="s">
        <v>114</v>
      </c>
      <c r="N35" s="69" t="s">
        <v>243</v>
      </c>
      <c r="O35" s="80" t="s">
        <v>22</v>
      </c>
      <c r="P35" s="80" t="s">
        <v>186</v>
      </c>
      <c r="Q35" s="96">
        <v>43017</v>
      </c>
      <c r="S35" s="69" t="s">
        <v>16</v>
      </c>
      <c r="T35" s="69"/>
      <c r="U35" s="69" t="s">
        <v>55</v>
      </c>
      <c r="V35" s="69"/>
      <c r="W35" s="69" t="s">
        <v>9</v>
      </c>
      <c r="X35" s="69" t="s">
        <v>19</v>
      </c>
      <c r="Y35" s="69" t="s">
        <v>56</v>
      </c>
      <c r="Z35" s="69" t="s">
        <v>57</v>
      </c>
      <c r="AA35" s="69" t="s">
        <v>57</v>
      </c>
      <c r="AB35" s="69"/>
      <c r="AC35" s="69" t="s">
        <v>217</v>
      </c>
      <c r="AD35" s="69"/>
      <c r="AE35" s="69"/>
      <c r="AF35" s="71">
        <f>F35</f>
        <v>0.5</v>
      </c>
      <c r="AG35" s="69"/>
      <c r="AH35" s="69"/>
      <c r="AI35" s="69"/>
      <c r="AJ35" s="69"/>
      <c r="AK35" s="69"/>
      <c r="AL35" s="69"/>
      <c r="AM35" s="69"/>
      <c r="AN35" s="69"/>
      <c r="AO35" s="69"/>
      <c r="AP35" s="69"/>
      <c r="AQ35" s="69"/>
      <c r="AR35" s="69"/>
      <c r="AS35" s="69"/>
      <c r="AT35" s="69"/>
      <c r="AU35" s="69"/>
      <c r="AV35" s="69"/>
    </row>
    <row r="36" spans="1:48" s="72" customFormat="1" ht="171.6" x14ac:dyDescent="0.25">
      <c r="A36" s="69"/>
      <c r="B36" s="70" t="s">
        <v>13</v>
      </c>
      <c r="C36" s="69">
        <v>3</v>
      </c>
      <c r="D36" s="69" t="s">
        <v>115</v>
      </c>
      <c r="E36" s="69" t="s">
        <v>116</v>
      </c>
      <c r="F36" s="71">
        <v>3</v>
      </c>
      <c r="G36" s="71">
        <v>5</v>
      </c>
      <c r="H36" s="71">
        <v>8</v>
      </c>
      <c r="I36" s="71"/>
      <c r="J36" s="71"/>
      <c r="K36" s="69" t="s">
        <v>260</v>
      </c>
      <c r="L36" s="69" t="s">
        <v>2</v>
      </c>
      <c r="M36" s="69" t="s">
        <v>54</v>
      </c>
      <c r="N36" s="69" t="s">
        <v>272</v>
      </c>
      <c r="O36" s="80" t="s">
        <v>191</v>
      </c>
      <c r="P36" s="80" t="s">
        <v>186</v>
      </c>
      <c r="Q36" s="96">
        <v>43017</v>
      </c>
      <c r="S36" s="69" t="s">
        <v>16</v>
      </c>
      <c r="T36" s="69"/>
      <c r="U36" s="69" t="s">
        <v>55</v>
      </c>
      <c r="V36" s="94" t="s">
        <v>191</v>
      </c>
      <c r="W36" s="69" t="s">
        <v>9</v>
      </c>
      <c r="X36" s="69" t="s">
        <v>19</v>
      </c>
      <c r="Y36" s="69" t="s">
        <v>56</v>
      </c>
      <c r="Z36" s="69" t="s">
        <v>57</v>
      </c>
      <c r="AA36" s="69" t="s">
        <v>185</v>
      </c>
      <c r="AB36" s="69" t="s">
        <v>226</v>
      </c>
      <c r="AC36" s="69" t="s">
        <v>218</v>
      </c>
      <c r="AD36" s="69"/>
      <c r="AE36" s="69">
        <v>0</v>
      </c>
      <c r="AF36" s="69">
        <v>0</v>
      </c>
      <c r="AG36" s="69">
        <v>3</v>
      </c>
      <c r="AH36" s="69">
        <v>0</v>
      </c>
      <c r="AI36" s="69">
        <v>0</v>
      </c>
      <c r="AJ36" s="69">
        <v>5</v>
      </c>
      <c r="AK36" s="69">
        <v>0</v>
      </c>
      <c r="AL36" s="69">
        <v>0</v>
      </c>
      <c r="AM36" s="69">
        <v>8</v>
      </c>
      <c r="AN36" s="69">
        <v>0</v>
      </c>
      <c r="AO36" s="69">
        <v>0</v>
      </c>
      <c r="AP36" s="69">
        <v>0</v>
      </c>
      <c r="AQ36" s="69">
        <v>0</v>
      </c>
      <c r="AR36" s="69">
        <v>0</v>
      </c>
      <c r="AS36" s="69">
        <v>0</v>
      </c>
      <c r="AT36" s="69">
        <v>0</v>
      </c>
      <c r="AU36" s="69">
        <v>0</v>
      </c>
      <c r="AV36" s="69">
        <v>0</v>
      </c>
    </row>
    <row r="37" spans="1:48" s="84" customFormat="1" ht="118.8" x14ac:dyDescent="0.25">
      <c r="A37" s="50"/>
      <c r="B37" s="49" t="s">
        <v>13</v>
      </c>
      <c r="C37" s="50">
        <v>4</v>
      </c>
      <c r="D37" s="50" t="s">
        <v>117</v>
      </c>
      <c r="E37" s="50" t="s">
        <v>118</v>
      </c>
      <c r="F37" s="51"/>
      <c r="G37" s="51"/>
      <c r="H37" s="51"/>
      <c r="I37" s="51"/>
      <c r="J37" s="51"/>
      <c r="K37" s="50" t="s">
        <v>0</v>
      </c>
      <c r="L37" s="50" t="s">
        <v>2</v>
      </c>
      <c r="M37" s="50" t="s">
        <v>82</v>
      </c>
      <c r="N37" s="50"/>
      <c r="O37" s="81"/>
      <c r="P37" s="81" t="s">
        <v>209</v>
      </c>
      <c r="Q37" s="81"/>
      <c r="S37" s="50" t="s">
        <v>20</v>
      </c>
      <c r="T37" s="50"/>
      <c r="U37" s="50" t="s">
        <v>55</v>
      </c>
      <c r="V37" s="50"/>
      <c r="W37" s="50" t="s">
        <v>9</v>
      </c>
      <c r="X37" s="50" t="s">
        <v>19</v>
      </c>
      <c r="Y37" s="50" t="s">
        <v>56</v>
      </c>
      <c r="Z37" s="50" t="s">
        <v>57</v>
      </c>
      <c r="AA37" s="50" t="s">
        <v>57</v>
      </c>
      <c r="AB37" s="50"/>
      <c r="AC37" s="50"/>
      <c r="AD37" s="50"/>
      <c r="AE37" s="50"/>
      <c r="AF37" s="50"/>
      <c r="AG37" s="50"/>
      <c r="AH37" s="50"/>
      <c r="AI37" s="50"/>
      <c r="AJ37" s="50"/>
      <c r="AK37" s="50"/>
      <c r="AL37" s="50"/>
      <c r="AM37" s="50"/>
      <c r="AN37" s="50"/>
      <c r="AO37" s="50"/>
      <c r="AP37" s="50"/>
      <c r="AQ37" s="50"/>
      <c r="AR37" s="50"/>
      <c r="AS37" s="50"/>
      <c r="AT37" s="50"/>
      <c r="AU37" s="50"/>
      <c r="AV37" s="50"/>
    </row>
    <row r="38" spans="1:48" s="84" customFormat="1" ht="39.6" x14ac:dyDescent="0.25">
      <c r="A38" s="50"/>
      <c r="B38" s="49" t="s">
        <v>13</v>
      </c>
      <c r="C38" s="50">
        <v>5</v>
      </c>
      <c r="D38" s="50" t="s">
        <v>119</v>
      </c>
      <c r="E38" s="50" t="s">
        <v>120</v>
      </c>
      <c r="F38" s="51"/>
      <c r="G38" s="51"/>
      <c r="H38" s="51"/>
      <c r="I38" s="51"/>
      <c r="J38" s="51"/>
      <c r="K38" s="50" t="s">
        <v>0</v>
      </c>
      <c r="L38" s="50" t="s">
        <v>2</v>
      </c>
      <c r="M38" s="50" t="s">
        <v>54</v>
      </c>
      <c r="N38" s="50"/>
      <c r="O38" s="81" t="s">
        <v>22</v>
      </c>
      <c r="P38" s="81" t="s">
        <v>207</v>
      </c>
      <c r="Q38" s="81"/>
      <c r="S38" s="50" t="s">
        <v>20</v>
      </c>
      <c r="T38" s="50"/>
      <c r="U38" s="50" t="s">
        <v>55</v>
      </c>
      <c r="V38" s="50"/>
      <c r="W38" s="50" t="s">
        <v>9</v>
      </c>
      <c r="X38" s="50" t="s">
        <v>19</v>
      </c>
      <c r="Y38" s="50" t="s">
        <v>56</v>
      </c>
      <c r="Z38" s="50" t="s">
        <v>57</v>
      </c>
      <c r="AA38" s="50" t="s">
        <v>57</v>
      </c>
      <c r="AB38" s="50"/>
      <c r="AC38" s="50"/>
      <c r="AD38" s="50"/>
      <c r="AE38" s="50"/>
      <c r="AF38" s="50"/>
      <c r="AG38" s="50"/>
      <c r="AH38" s="50"/>
      <c r="AI38" s="50"/>
      <c r="AJ38" s="50"/>
      <c r="AK38" s="50"/>
      <c r="AL38" s="50"/>
      <c r="AM38" s="50"/>
      <c r="AN38" s="50"/>
      <c r="AO38" s="50"/>
      <c r="AP38" s="50"/>
      <c r="AQ38" s="50"/>
      <c r="AR38" s="50"/>
      <c r="AS38" s="50"/>
      <c r="AT38" s="50"/>
      <c r="AU38" s="50"/>
      <c r="AV38" s="50"/>
    </row>
    <row r="39" spans="1:48" s="84" customFormat="1" ht="105.6" x14ac:dyDescent="0.25">
      <c r="A39" s="50"/>
      <c r="B39" s="49" t="s">
        <v>13</v>
      </c>
      <c r="C39" s="50">
        <v>6</v>
      </c>
      <c r="D39" s="50" t="s">
        <v>121</v>
      </c>
      <c r="E39" s="50" t="s">
        <v>122</v>
      </c>
      <c r="F39" s="51"/>
      <c r="G39" s="51"/>
      <c r="H39" s="51"/>
      <c r="I39" s="51"/>
      <c r="J39" s="51"/>
      <c r="K39" s="50" t="s">
        <v>0</v>
      </c>
      <c r="L39" s="50" t="s">
        <v>2</v>
      </c>
      <c r="M39" s="50" t="s">
        <v>54</v>
      </c>
      <c r="N39" s="50"/>
      <c r="O39" s="81" t="s">
        <v>22</v>
      </c>
      <c r="P39" s="81" t="s">
        <v>207</v>
      </c>
      <c r="Q39" s="81"/>
      <c r="S39" s="50" t="s">
        <v>20</v>
      </c>
      <c r="T39" s="50"/>
      <c r="U39" s="50" t="s">
        <v>55</v>
      </c>
      <c r="V39" s="50"/>
      <c r="W39" s="50" t="s">
        <v>9</v>
      </c>
      <c r="X39" s="50" t="s">
        <v>19</v>
      </c>
      <c r="Y39" s="50" t="s">
        <v>56</v>
      </c>
      <c r="Z39" s="50" t="s">
        <v>57</v>
      </c>
      <c r="AA39" s="50" t="s">
        <v>57</v>
      </c>
      <c r="AB39" s="50"/>
      <c r="AC39" s="50"/>
      <c r="AD39" s="50"/>
      <c r="AE39" s="50"/>
      <c r="AF39" s="50"/>
      <c r="AG39" s="50"/>
      <c r="AH39" s="50"/>
      <c r="AI39" s="50"/>
      <c r="AJ39" s="50"/>
      <c r="AK39" s="50"/>
      <c r="AL39" s="50"/>
      <c r="AM39" s="50"/>
      <c r="AN39" s="50"/>
      <c r="AO39" s="50"/>
      <c r="AP39" s="50"/>
      <c r="AQ39" s="50"/>
      <c r="AR39" s="50"/>
      <c r="AS39" s="50"/>
      <c r="AT39" s="50"/>
      <c r="AU39" s="50"/>
      <c r="AV39" s="50"/>
    </row>
    <row r="40" spans="1:48" s="84" customFormat="1" ht="52.8" x14ac:dyDescent="0.25">
      <c r="A40" s="50"/>
      <c r="B40" s="49" t="s">
        <v>13</v>
      </c>
      <c r="C40" s="50">
        <v>7</v>
      </c>
      <c r="D40" s="50" t="s">
        <v>123</v>
      </c>
      <c r="E40" s="50" t="s">
        <v>124</v>
      </c>
      <c r="F40" s="51"/>
      <c r="G40" s="51"/>
      <c r="H40" s="51"/>
      <c r="I40" s="51"/>
      <c r="J40" s="51"/>
      <c r="K40" s="50" t="s">
        <v>0</v>
      </c>
      <c r="L40" s="50" t="s">
        <v>2</v>
      </c>
      <c r="M40" s="50" t="s">
        <v>54</v>
      </c>
      <c r="N40" s="50"/>
      <c r="O40" s="81"/>
      <c r="P40" s="81"/>
      <c r="Q40" s="81"/>
      <c r="S40" s="50" t="s">
        <v>20</v>
      </c>
      <c r="T40" s="50"/>
      <c r="U40" s="50" t="s">
        <v>55</v>
      </c>
      <c r="V40" s="50"/>
      <c r="W40" s="50" t="s">
        <v>9</v>
      </c>
      <c r="X40" s="50" t="s">
        <v>19</v>
      </c>
      <c r="Y40" s="50" t="s">
        <v>56</v>
      </c>
      <c r="Z40" s="50" t="s">
        <v>57</v>
      </c>
      <c r="AA40" s="50" t="s">
        <v>57</v>
      </c>
      <c r="AB40" s="50"/>
      <c r="AC40" s="50"/>
      <c r="AD40" s="50"/>
      <c r="AE40" s="50"/>
      <c r="AF40" s="50"/>
      <c r="AG40" s="50"/>
      <c r="AH40" s="50"/>
      <c r="AI40" s="50"/>
      <c r="AJ40" s="50"/>
      <c r="AK40" s="50"/>
      <c r="AL40" s="50"/>
      <c r="AM40" s="50"/>
      <c r="AN40" s="50"/>
      <c r="AO40" s="50"/>
      <c r="AP40" s="50"/>
      <c r="AQ40" s="50"/>
      <c r="AR40" s="50"/>
      <c r="AS40" s="50"/>
      <c r="AT40" s="50"/>
      <c r="AU40" s="50"/>
      <c r="AV40" s="50"/>
    </row>
    <row r="41" spans="1:48" s="84" customFormat="1" ht="52.8" x14ac:dyDescent="0.25">
      <c r="A41" s="50"/>
      <c r="B41" s="49" t="s">
        <v>13</v>
      </c>
      <c r="C41" s="50">
        <v>8</v>
      </c>
      <c r="D41" s="50" t="s">
        <v>125</v>
      </c>
      <c r="E41" s="50" t="s">
        <v>126</v>
      </c>
      <c r="F41" s="51"/>
      <c r="G41" s="51"/>
      <c r="H41" s="51"/>
      <c r="I41" s="51"/>
      <c r="J41" s="51"/>
      <c r="K41" s="50" t="s">
        <v>0</v>
      </c>
      <c r="L41" s="50" t="s">
        <v>2</v>
      </c>
      <c r="M41" s="50" t="s">
        <v>127</v>
      </c>
      <c r="N41" s="50"/>
      <c r="O41" s="81"/>
      <c r="P41" s="81"/>
      <c r="Q41" s="81"/>
      <c r="S41" s="50" t="s">
        <v>20</v>
      </c>
      <c r="T41" s="50"/>
      <c r="U41" s="50" t="s">
        <v>55</v>
      </c>
      <c r="V41" s="50"/>
      <c r="W41" s="50" t="s">
        <v>9</v>
      </c>
      <c r="X41" s="50" t="s">
        <v>19</v>
      </c>
      <c r="Y41" s="50" t="s">
        <v>56</v>
      </c>
      <c r="Z41" s="50" t="s">
        <v>57</v>
      </c>
      <c r="AA41" s="50" t="s">
        <v>57</v>
      </c>
      <c r="AB41" s="50"/>
      <c r="AC41" s="50"/>
      <c r="AD41" s="50"/>
      <c r="AE41" s="50"/>
      <c r="AF41" s="50"/>
      <c r="AG41" s="50"/>
      <c r="AH41" s="50"/>
      <c r="AI41" s="50"/>
      <c r="AJ41" s="50"/>
      <c r="AK41" s="50"/>
      <c r="AL41" s="50"/>
      <c r="AM41" s="50"/>
      <c r="AN41" s="50"/>
      <c r="AO41" s="50"/>
      <c r="AP41" s="50"/>
      <c r="AQ41" s="50"/>
      <c r="AR41" s="50"/>
      <c r="AS41" s="50"/>
      <c r="AT41" s="50"/>
      <c r="AU41" s="50"/>
      <c r="AV41" s="50"/>
    </row>
    <row r="42" spans="1:48" s="72" customFormat="1" ht="92.4" x14ac:dyDescent="0.25">
      <c r="A42" s="69"/>
      <c r="B42" s="69" t="s">
        <v>13</v>
      </c>
      <c r="C42" s="69">
        <v>9</v>
      </c>
      <c r="D42" s="69" t="s">
        <v>128</v>
      </c>
      <c r="E42" s="69" t="s">
        <v>129</v>
      </c>
      <c r="F42" s="71">
        <v>6.0787279999999999</v>
      </c>
      <c r="G42" s="71">
        <v>28.126868000000002</v>
      </c>
      <c r="H42" s="71">
        <v>37.587138000000003</v>
      </c>
      <c r="I42" s="71">
        <v>41.189948999999999</v>
      </c>
      <c r="J42" s="71">
        <v>43.480943000000003</v>
      </c>
      <c r="K42" s="69" t="s">
        <v>258</v>
      </c>
      <c r="L42" s="69" t="s">
        <v>1</v>
      </c>
      <c r="M42" s="69" t="s">
        <v>54</v>
      </c>
      <c r="N42" s="69" t="s">
        <v>268</v>
      </c>
      <c r="O42" s="80" t="s">
        <v>22</v>
      </c>
      <c r="P42" s="80" t="s">
        <v>186</v>
      </c>
      <c r="Q42" s="96">
        <v>43017</v>
      </c>
      <c r="S42" s="69" t="s">
        <v>16</v>
      </c>
      <c r="T42" s="69"/>
      <c r="U42" s="69" t="s">
        <v>55</v>
      </c>
      <c r="V42" s="69" t="s">
        <v>22</v>
      </c>
      <c r="W42" s="69" t="s">
        <v>9</v>
      </c>
      <c r="X42" s="69" t="s">
        <v>19</v>
      </c>
      <c r="Y42" s="69" t="s">
        <v>241</v>
      </c>
      <c r="Z42" s="69" t="s">
        <v>185</v>
      </c>
      <c r="AA42" s="69" t="s">
        <v>57</v>
      </c>
      <c r="AB42" s="69"/>
      <c r="AC42" s="69" t="s">
        <v>219</v>
      </c>
      <c r="AD42" s="69"/>
      <c r="AE42" s="71">
        <v>0</v>
      </c>
      <c r="AF42" s="71">
        <v>0</v>
      </c>
      <c r="AG42" s="71">
        <v>6.0787279999999999</v>
      </c>
      <c r="AH42" s="71">
        <v>0</v>
      </c>
      <c r="AI42" s="71">
        <v>0</v>
      </c>
      <c r="AJ42" s="71">
        <v>28.126868000000002</v>
      </c>
      <c r="AK42" s="71">
        <v>0</v>
      </c>
      <c r="AL42" s="71">
        <v>0</v>
      </c>
      <c r="AM42" s="71">
        <v>37.587138000000003</v>
      </c>
      <c r="AN42" s="71">
        <v>0</v>
      </c>
      <c r="AO42" s="71">
        <v>0</v>
      </c>
      <c r="AP42" s="71">
        <v>41.189948999999999</v>
      </c>
      <c r="AQ42" s="71">
        <v>0</v>
      </c>
      <c r="AR42" s="71">
        <v>0</v>
      </c>
      <c r="AS42" s="71">
        <v>43.480943000000003</v>
      </c>
      <c r="AT42" s="71">
        <v>0</v>
      </c>
      <c r="AU42" s="71">
        <v>0</v>
      </c>
      <c r="AV42" s="71">
        <v>43.480943000000003</v>
      </c>
    </row>
    <row r="43" spans="1:48" s="84" customFormat="1" ht="105.6" x14ac:dyDescent="0.25">
      <c r="A43" s="50"/>
      <c r="B43" s="49" t="s">
        <v>13</v>
      </c>
      <c r="C43" s="50">
        <v>10</v>
      </c>
      <c r="D43" s="50" t="s">
        <v>130</v>
      </c>
      <c r="E43" s="50" t="s">
        <v>131</v>
      </c>
      <c r="F43" s="51"/>
      <c r="G43" s="51"/>
      <c r="H43" s="51"/>
      <c r="I43" s="51"/>
      <c r="J43" s="51"/>
      <c r="K43" s="50" t="s">
        <v>1</v>
      </c>
      <c r="L43" s="50" t="s">
        <v>2</v>
      </c>
      <c r="M43" s="50" t="s">
        <v>132</v>
      </c>
      <c r="N43" s="50"/>
      <c r="O43" s="81"/>
      <c r="P43" s="81"/>
      <c r="Q43" s="81"/>
      <c r="S43" s="50" t="s">
        <v>20</v>
      </c>
      <c r="T43" s="50"/>
      <c r="U43" s="50" t="s">
        <v>55</v>
      </c>
      <c r="V43" s="50"/>
      <c r="W43" s="50" t="s">
        <v>9</v>
      </c>
      <c r="X43" s="50" t="s">
        <v>19</v>
      </c>
      <c r="Y43" s="50" t="s">
        <v>56</v>
      </c>
      <c r="Z43" s="50" t="s">
        <v>57</v>
      </c>
      <c r="AA43" s="50" t="s">
        <v>57</v>
      </c>
      <c r="AB43" s="50"/>
      <c r="AC43" s="50"/>
      <c r="AD43" s="50"/>
      <c r="AE43" s="50"/>
      <c r="AF43" s="50"/>
      <c r="AG43" s="50"/>
      <c r="AH43" s="50"/>
      <c r="AI43" s="50"/>
      <c r="AJ43" s="50"/>
      <c r="AK43" s="50"/>
      <c r="AL43" s="50"/>
      <c r="AM43" s="50"/>
      <c r="AN43" s="50"/>
      <c r="AO43" s="50"/>
      <c r="AP43" s="50"/>
      <c r="AQ43" s="50"/>
      <c r="AR43" s="50"/>
      <c r="AS43" s="50"/>
      <c r="AT43" s="50"/>
      <c r="AU43" s="50"/>
      <c r="AV43" s="50"/>
    </row>
    <row r="44" spans="1:48" s="84" customFormat="1" ht="211.2" x14ac:dyDescent="0.25">
      <c r="A44" s="50"/>
      <c r="B44" s="49" t="s">
        <v>13</v>
      </c>
      <c r="C44" s="50">
        <v>11</v>
      </c>
      <c r="D44" s="50" t="s">
        <v>133</v>
      </c>
      <c r="E44" s="50" t="s">
        <v>134</v>
      </c>
      <c r="F44" s="51">
        <v>5.1539841412621037</v>
      </c>
      <c r="G44" s="51">
        <v>23.083004931047501</v>
      </c>
      <c r="H44" s="51">
        <v>25.440943940467687</v>
      </c>
      <c r="I44" s="51">
        <v>25.786498360933727</v>
      </c>
      <c r="J44" s="51">
        <v>25.928155469261501</v>
      </c>
      <c r="K44" s="50" t="s">
        <v>1</v>
      </c>
      <c r="L44" s="50" t="s">
        <v>2</v>
      </c>
      <c r="M44" s="50" t="s">
        <v>54</v>
      </c>
      <c r="N44" s="50" t="s">
        <v>227</v>
      </c>
      <c r="O44" s="81" t="s">
        <v>28</v>
      </c>
      <c r="P44" s="81" t="s">
        <v>190</v>
      </c>
      <c r="Q44" s="81"/>
      <c r="S44" s="50" t="s">
        <v>16</v>
      </c>
      <c r="T44" s="50"/>
      <c r="U44" s="50" t="s">
        <v>28</v>
      </c>
      <c r="V44" s="50" t="s">
        <v>24</v>
      </c>
      <c r="W44" s="50" t="s">
        <v>11</v>
      </c>
      <c r="X44" s="50" t="s">
        <v>19</v>
      </c>
      <c r="Y44" s="50" t="s">
        <v>242</v>
      </c>
      <c r="Z44" s="50" t="s">
        <v>57</v>
      </c>
      <c r="AA44" s="50" t="s">
        <v>185</v>
      </c>
      <c r="AB44" s="50" t="s">
        <v>221</v>
      </c>
      <c r="AC44" s="50" t="s">
        <v>219</v>
      </c>
      <c r="AD44" s="50"/>
      <c r="AE44" s="50">
        <v>0</v>
      </c>
      <c r="AF44" s="50">
        <v>0</v>
      </c>
      <c r="AG44" s="51">
        <v>5.1539841412621037</v>
      </c>
      <c r="AH44" s="51">
        <v>0</v>
      </c>
      <c r="AI44" s="51">
        <v>0</v>
      </c>
      <c r="AJ44" s="51">
        <v>23.083004931047501</v>
      </c>
      <c r="AK44" s="51">
        <v>0</v>
      </c>
      <c r="AL44" s="50">
        <v>0</v>
      </c>
      <c r="AM44" s="51">
        <v>25.440943940467687</v>
      </c>
      <c r="AN44" s="50">
        <v>0</v>
      </c>
      <c r="AO44" s="50">
        <v>0</v>
      </c>
      <c r="AP44" s="51">
        <v>25.786498360933727</v>
      </c>
      <c r="AQ44" s="50">
        <v>0</v>
      </c>
      <c r="AR44" s="50">
        <v>0</v>
      </c>
      <c r="AS44" s="51">
        <v>25.928155469261501</v>
      </c>
      <c r="AT44" s="50">
        <v>0</v>
      </c>
      <c r="AU44" s="50">
        <v>0</v>
      </c>
      <c r="AV44" s="51">
        <v>25.928155469261501</v>
      </c>
    </row>
    <row r="45" spans="1:48" s="72" customFormat="1" ht="171.6" x14ac:dyDescent="0.25">
      <c r="A45" s="69"/>
      <c r="B45" s="70" t="s">
        <v>13</v>
      </c>
      <c r="C45" s="69">
        <v>12</v>
      </c>
      <c r="D45" s="69" t="s">
        <v>135</v>
      </c>
      <c r="E45" s="69" t="s">
        <v>136</v>
      </c>
      <c r="F45" s="71"/>
      <c r="G45" s="71" t="s">
        <v>137</v>
      </c>
      <c r="H45" s="71" t="s">
        <v>138</v>
      </c>
      <c r="I45" s="71"/>
      <c r="J45" s="71"/>
      <c r="K45" s="69" t="s">
        <v>261</v>
      </c>
      <c r="L45" s="69" t="s">
        <v>2</v>
      </c>
      <c r="M45" s="69" t="s">
        <v>139</v>
      </c>
      <c r="N45" s="69" t="s">
        <v>266</v>
      </c>
      <c r="O45" s="80" t="s">
        <v>22</v>
      </c>
      <c r="P45" s="80" t="s">
        <v>186</v>
      </c>
      <c r="Q45" s="96">
        <v>43017</v>
      </c>
      <c r="S45" s="69" t="s">
        <v>16</v>
      </c>
      <c r="T45" s="69"/>
      <c r="U45" s="69" t="s">
        <v>55</v>
      </c>
      <c r="V45" s="69" t="s">
        <v>22</v>
      </c>
      <c r="W45" s="69" t="s">
        <v>9</v>
      </c>
      <c r="X45" s="69" t="s">
        <v>19</v>
      </c>
      <c r="Y45" s="69" t="s">
        <v>241</v>
      </c>
      <c r="Z45" s="69" t="s">
        <v>185</v>
      </c>
      <c r="AA45" s="69" t="s">
        <v>185</v>
      </c>
      <c r="AB45" s="69" t="s">
        <v>246</v>
      </c>
      <c r="AC45" s="69" t="s">
        <v>219</v>
      </c>
      <c r="AD45" s="69"/>
      <c r="AE45" s="69"/>
      <c r="AF45" s="69"/>
      <c r="AG45" s="69"/>
      <c r="AH45" s="69">
        <v>0</v>
      </c>
      <c r="AI45" s="69">
        <v>0</v>
      </c>
      <c r="AJ45" s="69">
        <v>20</v>
      </c>
      <c r="AK45" s="69">
        <v>0</v>
      </c>
      <c r="AL45" s="69">
        <v>0</v>
      </c>
      <c r="AM45" s="69">
        <v>15</v>
      </c>
      <c r="AN45" s="69"/>
      <c r="AO45" s="69"/>
      <c r="AP45" s="69"/>
      <c r="AQ45" s="69"/>
      <c r="AR45" s="69"/>
      <c r="AS45" s="69"/>
      <c r="AT45" s="69"/>
      <c r="AU45" s="69"/>
      <c r="AV45" s="69"/>
    </row>
    <row r="46" spans="1:48" s="72" customFormat="1" ht="158.4" x14ac:dyDescent="0.25">
      <c r="A46" s="69"/>
      <c r="B46" s="70" t="s">
        <v>13</v>
      </c>
      <c r="C46" s="69">
        <v>13</v>
      </c>
      <c r="D46" s="69" t="s">
        <v>140</v>
      </c>
      <c r="E46" s="69" t="s">
        <v>141</v>
      </c>
      <c r="F46" s="71"/>
      <c r="G46" s="71">
        <v>0.65</v>
      </c>
      <c r="H46" s="71">
        <v>2.6</v>
      </c>
      <c r="I46" s="71">
        <v>2.6</v>
      </c>
      <c r="J46" s="71">
        <v>2.6</v>
      </c>
      <c r="K46" s="69" t="s">
        <v>1</v>
      </c>
      <c r="L46" s="69" t="s">
        <v>2</v>
      </c>
      <c r="M46" s="69" t="s">
        <v>54</v>
      </c>
      <c r="N46" s="69" t="s">
        <v>228</v>
      </c>
      <c r="O46" s="80" t="s">
        <v>21</v>
      </c>
      <c r="P46" s="80" t="s">
        <v>208</v>
      </c>
      <c r="Q46" s="96">
        <v>43017</v>
      </c>
      <c r="S46" s="69" t="s">
        <v>16</v>
      </c>
      <c r="T46" s="69"/>
      <c r="U46" s="69" t="s">
        <v>55</v>
      </c>
      <c r="V46" s="69"/>
      <c r="W46" s="69" t="s">
        <v>9</v>
      </c>
      <c r="X46" s="69" t="s">
        <v>19</v>
      </c>
      <c r="Y46" s="69" t="s">
        <v>56</v>
      </c>
      <c r="Z46" s="69" t="s">
        <v>57</v>
      </c>
      <c r="AA46" s="69" t="s">
        <v>185</v>
      </c>
      <c r="AB46" s="69" t="s">
        <v>221</v>
      </c>
      <c r="AC46" s="69" t="s">
        <v>217</v>
      </c>
      <c r="AD46" s="69"/>
      <c r="AE46" s="69">
        <v>0</v>
      </c>
      <c r="AF46" s="71">
        <v>0.65</v>
      </c>
      <c r="AG46" s="71">
        <v>0</v>
      </c>
      <c r="AH46" s="71">
        <v>0</v>
      </c>
      <c r="AI46" s="71">
        <v>2.6</v>
      </c>
      <c r="AJ46" s="69">
        <v>0</v>
      </c>
      <c r="AK46" s="69">
        <v>0</v>
      </c>
      <c r="AL46" s="71">
        <v>2.6</v>
      </c>
      <c r="AM46" s="69">
        <v>0</v>
      </c>
      <c r="AN46" s="69">
        <v>0</v>
      </c>
      <c r="AO46" s="71">
        <v>2.6</v>
      </c>
      <c r="AP46" s="69">
        <v>0</v>
      </c>
      <c r="AQ46" s="69">
        <v>0</v>
      </c>
      <c r="AR46" s="71">
        <v>2.6</v>
      </c>
      <c r="AS46" s="69">
        <v>0</v>
      </c>
      <c r="AT46" s="69">
        <v>0</v>
      </c>
      <c r="AU46" s="71">
        <v>2.6</v>
      </c>
      <c r="AV46" s="69">
        <v>0</v>
      </c>
    </row>
    <row r="47" spans="1:48" s="72" customFormat="1" ht="92.4" x14ac:dyDescent="0.25">
      <c r="A47" s="69"/>
      <c r="B47" s="70" t="s">
        <v>13</v>
      </c>
      <c r="C47" s="69">
        <v>14</v>
      </c>
      <c r="D47" s="69" t="s">
        <v>142</v>
      </c>
      <c r="E47" s="69" t="s">
        <v>143</v>
      </c>
      <c r="F47" s="71"/>
      <c r="G47" s="71"/>
      <c r="H47" s="71">
        <v>1</v>
      </c>
      <c r="I47" s="71">
        <v>1</v>
      </c>
      <c r="J47" s="71">
        <v>1</v>
      </c>
      <c r="K47" s="69" t="s">
        <v>1</v>
      </c>
      <c r="L47" s="69" t="s">
        <v>2</v>
      </c>
      <c r="M47" s="69" t="s">
        <v>253</v>
      </c>
      <c r="N47" s="69" t="s">
        <v>252</v>
      </c>
      <c r="O47" s="80" t="s">
        <v>24</v>
      </c>
      <c r="P47" s="80" t="s">
        <v>245</v>
      </c>
      <c r="Q47" s="96">
        <v>43017</v>
      </c>
      <c r="S47" s="69" t="s">
        <v>16</v>
      </c>
      <c r="T47" s="69"/>
      <c r="U47" s="69" t="s">
        <v>28</v>
      </c>
      <c r="V47" s="69" t="s">
        <v>24</v>
      </c>
      <c r="W47" s="69" t="s">
        <v>11</v>
      </c>
      <c r="X47" s="69" t="s">
        <v>19</v>
      </c>
      <c r="Y47" s="69" t="s">
        <v>56</v>
      </c>
      <c r="Z47" s="69" t="s">
        <v>57</v>
      </c>
      <c r="AA47" s="69" t="s">
        <v>185</v>
      </c>
      <c r="AB47" s="69" t="s">
        <v>221</v>
      </c>
      <c r="AC47" s="69" t="s">
        <v>218</v>
      </c>
      <c r="AD47" s="69"/>
      <c r="AE47" s="69"/>
      <c r="AF47" s="69"/>
      <c r="AG47" s="69"/>
      <c r="AH47" s="69"/>
      <c r="AI47" s="69"/>
      <c r="AJ47" s="69"/>
      <c r="AK47" s="69">
        <v>0</v>
      </c>
      <c r="AL47" s="69"/>
      <c r="AM47" s="69">
        <v>1</v>
      </c>
      <c r="AN47" s="69">
        <v>0</v>
      </c>
      <c r="AO47" s="69"/>
      <c r="AP47" s="69">
        <v>1</v>
      </c>
      <c r="AQ47" s="69">
        <v>0</v>
      </c>
      <c r="AR47" s="69"/>
      <c r="AS47" s="69">
        <v>1</v>
      </c>
      <c r="AT47" s="69">
        <v>0</v>
      </c>
      <c r="AU47" s="69"/>
      <c r="AV47" s="69">
        <v>1</v>
      </c>
    </row>
    <row r="48" spans="1:48" s="48" customFormat="1" ht="52.8" x14ac:dyDescent="0.25">
      <c r="A48" s="47"/>
      <c r="B48" s="49" t="s">
        <v>13</v>
      </c>
      <c r="C48" s="50">
        <v>15</v>
      </c>
      <c r="D48" s="50" t="s">
        <v>144</v>
      </c>
      <c r="E48" s="50" t="s">
        <v>145</v>
      </c>
      <c r="F48" s="51"/>
      <c r="G48" s="51"/>
      <c r="H48" s="51"/>
      <c r="I48" s="51"/>
      <c r="J48" s="51"/>
      <c r="K48" s="50" t="s">
        <v>1</v>
      </c>
      <c r="L48" s="50" t="s">
        <v>2</v>
      </c>
      <c r="M48" s="50" t="s">
        <v>114</v>
      </c>
      <c r="N48" s="50"/>
      <c r="O48" s="81"/>
      <c r="P48" s="81"/>
      <c r="Q48" s="81"/>
      <c r="S48" s="47" t="s">
        <v>20</v>
      </c>
      <c r="T48" s="47"/>
      <c r="U48" s="47" t="s">
        <v>55</v>
      </c>
      <c r="V48" s="47"/>
      <c r="W48" s="47" t="s">
        <v>9</v>
      </c>
      <c r="X48" s="47" t="s">
        <v>19</v>
      </c>
      <c r="Y48" s="47" t="s">
        <v>56</v>
      </c>
      <c r="Z48" s="47" t="s">
        <v>57</v>
      </c>
      <c r="AA48" s="47" t="s">
        <v>57</v>
      </c>
      <c r="AB48" s="47"/>
      <c r="AC48" s="47"/>
      <c r="AD48" s="47"/>
      <c r="AE48" s="47"/>
      <c r="AF48" s="47"/>
      <c r="AG48" s="47"/>
      <c r="AH48" s="47"/>
      <c r="AI48" s="47"/>
      <c r="AJ48" s="47"/>
      <c r="AK48" s="47"/>
      <c r="AL48" s="47"/>
      <c r="AM48" s="47"/>
      <c r="AN48" s="47"/>
      <c r="AO48" s="47"/>
      <c r="AP48" s="47"/>
      <c r="AQ48" s="47"/>
      <c r="AR48" s="47"/>
      <c r="AS48" s="47"/>
      <c r="AT48" s="47"/>
      <c r="AU48" s="47"/>
      <c r="AV48" s="47"/>
    </row>
    <row r="49" spans="1:48" s="48" customFormat="1" ht="92.4" x14ac:dyDescent="0.25">
      <c r="A49" s="47"/>
      <c r="B49" s="49" t="s">
        <v>13</v>
      </c>
      <c r="C49" s="50">
        <v>16</v>
      </c>
      <c r="D49" s="50" t="s">
        <v>66</v>
      </c>
      <c r="E49" s="50" t="s">
        <v>146</v>
      </c>
      <c r="F49" s="51"/>
      <c r="G49" s="51"/>
      <c r="H49" s="51"/>
      <c r="I49" s="51"/>
      <c r="J49" s="51"/>
      <c r="K49" s="50" t="s">
        <v>1</v>
      </c>
      <c r="L49" s="50" t="s">
        <v>2</v>
      </c>
      <c r="M49" s="50" t="s">
        <v>54</v>
      </c>
      <c r="N49" s="50"/>
      <c r="O49" s="81"/>
      <c r="P49" s="81"/>
      <c r="Q49" s="81"/>
      <c r="S49" s="47" t="s">
        <v>20</v>
      </c>
      <c r="T49" s="47"/>
      <c r="U49" s="47" t="s">
        <v>55</v>
      </c>
      <c r="V49" s="47"/>
      <c r="W49" s="47" t="s">
        <v>9</v>
      </c>
      <c r="X49" s="47" t="s">
        <v>19</v>
      </c>
      <c r="Y49" s="47" t="s">
        <v>56</v>
      </c>
      <c r="Z49" s="47" t="s">
        <v>57</v>
      </c>
      <c r="AA49" s="47" t="s">
        <v>57</v>
      </c>
      <c r="AB49" s="47"/>
      <c r="AC49" s="47"/>
      <c r="AD49" s="47"/>
      <c r="AE49" s="47"/>
      <c r="AF49" s="47"/>
      <c r="AG49" s="47"/>
      <c r="AH49" s="47"/>
      <c r="AI49" s="47"/>
      <c r="AJ49" s="47"/>
      <c r="AK49" s="47"/>
      <c r="AL49" s="47"/>
      <c r="AM49" s="47"/>
      <c r="AN49" s="47"/>
      <c r="AO49" s="47"/>
      <c r="AP49" s="47"/>
      <c r="AQ49" s="47"/>
      <c r="AR49" s="47"/>
      <c r="AS49" s="47"/>
      <c r="AT49" s="47"/>
      <c r="AU49" s="47"/>
      <c r="AV49" s="47"/>
    </row>
    <row r="50" spans="1:48" s="48" customFormat="1" ht="52.8" x14ac:dyDescent="0.25">
      <c r="A50" s="47"/>
      <c r="B50" s="49" t="s">
        <v>13</v>
      </c>
      <c r="C50" s="50">
        <v>17</v>
      </c>
      <c r="D50" s="50" t="s">
        <v>147</v>
      </c>
      <c r="E50" s="50" t="s">
        <v>148</v>
      </c>
      <c r="F50" s="51"/>
      <c r="G50" s="51"/>
      <c r="H50" s="51"/>
      <c r="I50" s="51"/>
      <c r="J50" s="51"/>
      <c r="K50" s="50" t="s">
        <v>1</v>
      </c>
      <c r="L50" s="50" t="s">
        <v>2</v>
      </c>
      <c r="M50" s="50" t="s">
        <v>54</v>
      </c>
      <c r="N50" s="50"/>
      <c r="O50" s="81"/>
      <c r="P50" s="81"/>
      <c r="Q50" s="81"/>
      <c r="S50" s="47" t="s">
        <v>20</v>
      </c>
      <c r="T50" s="47"/>
      <c r="U50" s="47" t="s">
        <v>55</v>
      </c>
      <c r="V50" s="47"/>
      <c r="W50" s="47" t="s">
        <v>9</v>
      </c>
      <c r="X50" s="47" t="s">
        <v>19</v>
      </c>
      <c r="Y50" s="47" t="s">
        <v>56</v>
      </c>
      <c r="Z50" s="47" t="s">
        <v>57</v>
      </c>
      <c r="AA50" s="47" t="s">
        <v>57</v>
      </c>
      <c r="AB50" s="47"/>
      <c r="AC50" s="47"/>
      <c r="AD50" s="47"/>
      <c r="AE50" s="47"/>
      <c r="AF50" s="47"/>
      <c r="AG50" s="47"/>
      <c r="AH50" s="47"/>
      <c r="AI50" s="47"/>
      <c r="AJ50" s="47"/>
      <c r="AK50" s="47"/>
      <c r="AL50" s="47"/>
      <c r="AM50" s="47"/>
      <c r="AN50" s="47"/>
      <c r="AO50" s="47"/>
      <c r="AP50" s="47"/>
      <c r="AQ50" s="47"/>
      <c r="AR50" s="47"/>
      <c r="AS50" s="47"/>
      <c r="AT50" s="47"/>
      <c r="AU50" s="47"/>
      <c r="AV50" s="47"/>
    </row>
    <row r="51" spans="1:48" s="48" customFormat="1" ht="39.6" x14ac:dyDescent="0.25">
      <c r="A51" s="47"/>
      <c r="B51" s="49" t="s">
        <v>13</v>
      </c>
      <c r="C51" s="50">
        <v>18</v>
      </c>
      <c r="D51" s="50" t="s">
        <v>149</v>
      </c>
      <c r="E51" s="50" t="s">
        <v>150</v>
      </c>
      <c r="F51" s="51"/>
      <c r="G51" s="51"/>
      <c r="H51" s="51"/>
      <c r="I51" s="51"/>
      <c r="J51" s="51"/>
      <c r="K51" s="50" t="s">
        <v>1</v>
      </c>
      <c r="L51" s="50" t="s">
        <v>2</v>
      </c>
      <c r="M51" s="50" t="s">
        <v>54</v>
      </c>
      <c r="N51" s="50"/>
      <c r="O51" s="81"/>
      <c r="P51" s="81"/>
      <c r="Q51" s="81"/>
      <c r="S51" s="47" t="s">
        <v>20</v>
      </c>
      <c r="T51" s="47"/>
      <c r="U51" s="47" t="s">
        <v>55</v>
      </c>
      <c r="V51" s="47"/>
      <c r="W51" s="47" t="s">
        <v>9</v>
      </c>
      <c r="X51" s="47" t="s">
        <v>19</v>
      </c>
      <c r="Y51" s="47" t="s">
        <v>56</v>
      </c>
      <c r="Z51" s="47" t="s">
        <v>57</v>
      </c>
      <c r="AA51" s="47" t="s">
        <v>57</v>
      </c>
      <c r="AB51" s="47"/>
      <c r="AC51" s="47"/>
      <c r="AD51" s="47"/>
      <c r="AE51" s="47"/>
      <c r="AF51" s="47"/>
      <c r="AG51" s="47"/>
      <c r="AH51" s="47"/>
      <c r="AI51" s="47"/>
      <c r="AJ51" s="47"/>
      <c r="AK51" s="47"/>
      <c r="AL51" s="47"/>
      <c r="AM51" s="47"/>
      <c r="AN51" s="47"/>
      <c r="AO51" s="47"/>
      <c r="AP51" s="47"/>
      <c r="AQ51" s="47"/>
      <c r="AR51" s="47"/>
      <c r="AS51" s="47"/>
      <c r="AT51" s="47"/>
      <c r="AU51" s="47"/>
      <c r="AV51" s="47"/>
    </row>
    <row r="52" spans="1:48" s="72" customFormat="1" ht="92.4" x14ac:dyDescent="0.25">
      <c r="A52" s="69"/>
      <c r="B52" s="70" t="s">
        <v>13</v>
      </c>
      <c r="C52" s="69">
        <v>19</v>
      </c>
      <c r="D52" s="69" t="s">
        <v>151</v>
      </c>
      <c r="E52" s="69" t="s">
        <v>152</v>
      </c>
      <c r="F52" s="71">
        <v>0.8</v>
      </c>
      <c r="G52" s="71">
        <v>3.6</v>
      </c>
      <c r="H52" s="71">
        <v>7.4</v>
      </c>
      <c r="I52" s="71">
        <v>10.7</v>
      </c>
      <c r="J52" s="71">
        <v>13</v>
      </c>
      <c r="K52" s="69" t="s">
        <v>2</v>
      </c>
      <c r="L52" s="69" t="s">
        <v>53</v>
      </c>
      <c r="M52" s="69" t="s">
        <v>153</v>
      </c>
      <c r="N52" s="69" t="s">
        <v>270</v>
      </c>
      <c r="O52" s="80" t="s">
        <v>256</v>
      </c>
      <c r="P52" s="80" t="s">
        <v>207</v>
      </c>
      <c r="Q52" s="96">
        <v>43017</v>
      </c>
      <c r="S52" s="69" t="s">
        <v>16</v>
      </c>
      <c r="T52" s="69"/>
      <c r="U52" s="69" t="s">
        <v>55</v>
      </c>
      <c r="V52" s="69" t="s">
        <v>22</v>
      </c>
      <c r="W52" s="69" t="s">
        <v>9</v>
      </c>
      <c r="X52" s="69" t="s">
        <v>19</v>
      </c>
      <c r="Y52" s="69" t="s">
        <v>56</v>
      </c>
      <c r="Z52" s="69" t="s">
        <v>57</v>
      </c>
      <c r="AA52" s="69" t="s">
        <v>185</v>
      </c>
      <c r="AB52" s="69" t="s">
        <v>221</v>
      </c>
      <c r="AC52" s="69" t="s">
        <v>219</v>
      </c>
      <c r="AD52" s="69"/>
      <c r="AE52" s="71">
        <f>AF52*(1-0.1)</f>
        <v>0.72000000000000008</v>
      </c>
      <c r="AF52" s="71">
        <v>0.8</v>
      </c>
      <c r="AG52" s="71">
        <f>AF52*(1+0.2)</f>
        <v>0.96</v>
      </c>
      <c r="AH52" s="71">
        <f>AI52*(1-0.1)</f>
        <v>3.24</v>
      </c>
      <c r="AI52" s="71">
        <v>3.6</v>
      </c>
      <c r="AJ52" s="71">
        <f>AI52*(1+0.2)</f>
        <v>4.32</v>
      </c>
      <c r="AK52" s="71">
        <f>AL52*(1-0.1)</f>
        <v>6.66</v>
      </c>
      <c r="AL52" s="71">
        <v>7.4</v>
      </c>
      <c r="AM52" s="71">
        <f>AL52*(1+0.2)</f>
        <v>8.8800000000000008</v>
      </c>
      <c r="AN52" s="71">
        <f>AO52*(1-0.1)</f>
        <v>9.629999999999999</v>
      </c>
      <c r="AO52" s="71">
        <v>10.7</v>
      </c>
      <c r="AP52" s="71">
        <f>AO52*(1+0.2)</f>
        <v>12.839999999999998</v>
      </c>
      <c r="AQ52" s="71">
        <f>AR52*(1-0.1)</f>
        <v>11.700000000000001</v>
      </c>
      <c r="AR52" s="71">
        <v>13</v>
      </c>
      <c r="AS52" s="71">
        <f>AR52*(1+0.2)</f>
        <v>15.6</v>
      </c>
      <c r="AT52" s="71">
        <f>AU52*(1-0.1)</f>
        <v>11.700000000000001</v>
      </c>
      <c r="AU52" s="71">
        <v>13</v>
      </c>
      <c r="AV52" s="71">
        <f>AU52*(1+0.2)</f>
        <v>15.6</v>
      </c>
    </row>
    <row r="53" spans="1:48" s="48" customFormat="1" ht="66" x14ac:dyDescent="0.25">
      <c r="A53" s="47"/>
      <c r="B53" s="49" t="s">
        <v>13</v>
      </c>
      <c r="C53" s="50">
        <v>20</v>
      </c>
      <c r="D53" s="50" t="s">
        <v>154</v>
      </c>
      <c r="E53" s="50" t="s">
        <v>155</v>
      </c>
      <c r="F53" s="51"/>
      <c r="G53" s="51"/>
      <c r="H53" s="51"/>
      <c r="I53" s="51"/>
      <c r="J53" s="51"/>
      <c r="K53" s="50" t="s">
        <v>2</v>
      </c>
      <c r="L53" s="50" t="s">
        <v>2</v>
      </c>
      <c r="M53" s="50" t="s">
        <v>156</v>
      </c>
      <c r="N53" s="50"/>
      <c r="O53" s="81" t="s">
        <v>21</v>
      </c>
      <c r="P53" s="81" t="s">
        <v>207</v>
      </c>
      <c r="Q53" s="81"/>
      <c r="S53" s="47" t="s">
        <v>20</v>
      </c>
      <c r="T53" s="47"/>
      <c r="U53" s="47" t="s">
        <v>55</v>
      </c>
      <c r="V53" s="47"/>
      <c r="W53" s="47" t="s">
        <v>9</v>
      </c>
      <c r="X53" s="47" t="s">
        <v>19</v>
      </c>
      <c r="Y53" s="47" t="s">
        <v>56</v>
      </c>
      <c r="Z53" s="47" t="s">
        <v>57</v>
      </c>
      <c r="AA53" s="47" t="s">
        <v>57</v>
      </c>
      <c r="AB53" s="47"/>
      <c r="AC53" s="47"/>
      <c r="AD53" s="47"/>
      <c r="AE53" s="47"/>
      <c r="AF53" s="47"/>
      <c r="AG53" s="47"/>
      <c r="AH53" s="47"/>
      <c r="AI53" s="47"/>
      <c r="AJ53" s="47"/>
      <c r="AK53" s="47"/>
      <c r="AL53" s="47"/>
      <c r="AM53" s="47"/>
      <c r="AN53" s="47"/>
      <c r="AO53" s="47"/>
      <c r="AP53" s="47"/>
      <c r="AQ53" s="47"/>
      <c r="AR53" s="47"/>
      <c r="AS53" s="47"/>
      <c r="AT53" s="47"/>
      <c r="AU53" s="47"/>
      <c r="AV53" s="47"/>
    </row>
    <row r="54" spans="1:48" s="48" customFormat="1" ht="66" x14ac:dyDescent="0.25">
      <c r="A54" s="47"/>
      <c r="B54" s="49" t="s">
        <v>13</v>
      </c>
      <c r="C54" s="50">
        <v>21</v>
      </c>
      <c r="D54" s="50" t="s">
        <v>157</v>
      </c>
      <c r="E54" s="50" t="s">
        <v>158</v>
      </c>
      <c r="F54" s="51"/>
      <c r="G54" s="51"/>
      <c r="H54" s="51"/>
      <c r="I54" s="51"/>
      <c r="J54" s="51"/>
      <c r="K54" s="50" t="s">
        <v>2</v>
      </c>
      <c r="L54" s="50" t="s">
        <v>2</v>
      </c>
      <c r="M54" s="50" t="s">
        <v>159</v>
      </c>
      <c r="N54" s="50"/>
      <c r="O54" s="81"/>
      <c r="P54" s="81"/>
      <c r="Q54" s="81"/>
      <c r="S54" s="47" t="s">
        <v>20</v>
      </c>
      <c r="T54" s="47"/>
      <c r="U54" s="47" t="s">
        <v>55</v>
      </c>
      <c r="V54" s="47"/>
      <c r="W54" s="47" t="s">
        <v>9</v>
      </c>
      <c r="X54" s="47" t="s">
        <v>19</v>
      </c>
      <c r="Y54" s="47" t="s">
        <v>56</v>
      </c>
      <c r="Z54" s="47" t="s">
        <v>57</v>
      </c>
      <c r="AA54" s="47" t="s">
        <v>57</v>
      </c>
      <c r="AB54" s="47"/>
      <c r="AC54" s="47"/>
      <c r="AD54" s="47"/>
      <c r="AE54" s="47"/>
      <c r="AF54" s="47"/>
      <c r="AG54" s="47"/>
      <c r="AH54" s="47"/>
      <c r="AI54" s="47"/>
      <c r="AJ54" s="47"/>
      <c r="AK54" s="47"/>
      <c r="AL54" s="47"/>
      <c r="AM54" s="47"/>
      <c r="AN54" s="47"/>
      <c r="AO54" s="47"/>
      <c r="AP54" s="47"/>
      <c r="AQ54" s="47"/>
      <c r="AR54" s="47"/>
      <c r="AS54" s="47"/>
      <c r="AT54" s="47"/>
      <c r="AU54" s="47"/>
      <c r="AV54" s="47"/>
    </row>
    <row r="55" spans="1:48" s="48" customFormat="1" ht="66" x14ac:dyDescent="0.25">
      <c r="A55" s="47"/>
      <c r="B55" s="49" t="s">
        <v>13</v>
      </c>
      <c r="C55" s="50">
        <v>22</v>
      </c>
      <c r="D55" s="50" t="s">
        <v>160</v>
      </c>
      <c r="E55" s="50" t="s">
        <v>161</v>
      </c>
      <c r="F55" s="51"/>
      <c r="G55" s="51"/>
      <c r="H55" s="51"/>
      <c r="I55" s="51"/>
      <c r="J55" s="51"/>
      <c r="K55" s="50" t="s">
        <v>2</v>
      </c>
      <c r="L55" s="50" t="s">
        <v>2</v>
      </c>
      <c r="M55" s="50" t="s">
        <v>162</v>
      </c>
      <c r="N55" s="50"/>
      <c r="O55" s="81"/>
      <c r="P55" s="81" t="s">
        <v>209</v>
      </c>
      <c r="Q55" s="81"/>
      <c r="S55" s="47" t="s">
        <v>20</v>
      </c>
      <c r="T55" s="47"/>
      <c r="U55" s="47" t="s">
        <v>55</v>
      </c>
      <c r="V55" s="47"/>
      <c r="W55" s="47" t="s">
        <v>9</v>
      </c>
      <c r="X55" s="47" t="s">
        <v>19</v>
      </c>
      <c r="Y55" s="47" t="s">
        <v>56</v>
      </c>
      <c r="Z55" s="47" t="s">
        <v>57</v>
      </c>
      <c r="AA55" s="47" t="s">
        <v>57</v>
      </c>
      <c r="AB55" s="47"/>
      <c r="AC55" s="47"/>
      <c r="AD55" s="47"/>
      <c r="AE55" s="47"/>
      <c r="AF55" s="47"/>
      <c r="AG55" s="47"/>
      <c r="AH55" s="47"/>
      <c r="AI55" s="47"/>
      <c r="AJ55" s="47"/>
      <c r="AK55" s="47"/>
      <c r="AL55" s="47"/>
      <c r="AM55" s="47"/>
      <c r="AN55" s="47"/>
      <c r="AO55" s="47"/>
      <c r="AP55" s="47"/>
      <c r="AQ55" s="47"/>
      <c r="AR55" s="47"/>
      <c r="AS55" s="47"/>
      <c r="AT55" s="47"/>
      <c r="AU55" s="47"/>
      <c r="AV55" s="47"/>
    </row>
    <row r="56" spans="1:48" s="48" customFormat="1" ht="52.8" x14ac:dyDescent="0.25">
      <c r="A56" s="47"/>
      <c r="B56" s="49" t="s">
        <v>13</v>
      </c>
      <c r="C56" s="50">
        <v>23</v>
      </c>
      <c r="D56" s="50" t="s">
        <v>163</v>
      </c>
      <c r="E56" s="50" t="s">
        <v>164</v>
      </c>
      <c r="F56" s="51"/>
      <c r="G56" s="51"/>
      <c r="H56" s="51"/>
      <c r="I56" s="51"/>
      <c r="J56" s="51"/>
      <c r="K56" s="50" t="s">
        <v>2</v>
      </c>
      <c r="L56" s="50" t="s">
        <v>2</v>
      </c>
      <c r="M56" s="50" t="s">
        <v>54</v>
      </c>
      <c r="N56" s="50"/>
      <c r="O56" s="81"/>
      <c r="P56" s="81"/>
      <c r="Q56" s="81"/>
      <c r="S56" s="47" t="s">
        <v>20</v>
      </c>
      <c r="T56" s="47"/>
      <c r="U56" s="47" t="s">
        <v>55</v>
      </c>
      <c r="V56" s="47"/>
      <c r="W56" s="47" t="s">
        <v>9</v>
      </c>
      <c r="X56" s="47" t="s">
        <v>19</v>
      </c>
      <c r="Y56" s="47" t="s">
        <v>56</v>
      </c>
      <c r="Z56" s="47" t="s">
        <v>57</v>
      </c>
      <c r="AA56" s="47" t="s">
        <v>57</v>
      </c>
      <c r="AB56" s="47"/>
      <c r="AC56" s="47"/>
      <c r="AD56" s="47"/>
      <c r="AE56" s="47"/>
      <c r="AF56" s="47"/>
      <c r="AG56" s="47"/>
      <c r="AH56" s="47"/>
      <c r="AI56" s="47"/>
      <c r="AJ56" s="47"/>
      <c r="AK56" s="47"/>
      <c r="AL56" s="47"/>
      <c r="AM56" s="47"/>
      <c r="AN56" s="47"/>
      <c r="AO56" s="47"/>
      <c r="AP56" s="47"/>
      <c r="AQ56" s="47"/>
      <c r="AR56" s="47"/>
      <c r="AS56" s="47"/>
      <c r="AT56" s="47"/>
      <c r="AU56" s="47"/>
      <c r="AV56" s="47"/>
    </row>
    <row r="57" spans="1:48" s="48" customFormat="1" ht="39.6" x14ac:dyDescent="0.25">
      <c r="A57" s="47"/>
      <c r="B57" s="49" t="s">
        <v>13</v>
      </c>
      <c r="C57" s="50">
        <v>24</v>
      </c>
      <c r="D57" s="50" t="s">
        <v>68</v>
      </c>
      <c r="E57" s="50" t="s">
        <v>165</v>
      </c>
      <c r="F57" s="51"/>
      <c r="G57" s="51"/>
      <c r="H57" s="51"/>
      <c r="I57" s="51"/>
      <c r="J57" s="51"/>
      <c r="K57" s="50" t="s">
        <v>2</v>
      </c>
      <c r="L57" s="50" t="s">
        <v>2</v>
      </c>
      <c r="M57" s="50" t="s">
        <v>54</v>
      </c>
      <c r="N57" s="50"/>
      <c r="O57" s="81"/>
      <c r="P57" s="81"/>
      <c r="Q57" s="81"/>
      <c r="S57" s="47" t="s">
        <v>20</v>
      </c>
      <c r="T57" s="47"/>
      <c r="U57" s="47" t="s">
        <v>55</v>
      </c>
      <c r="V57" s="47"/>
      <c r="W57" s="47" t="s">
        <v>9</v>
      </c>
      <c r="X57" s="47" t="s">
        <v>19</v>
      </c>
      <c r="Y57" s="47" t="s">
        <v>56</v>
      </c>
      <c r="Z57" s="47" t="s">
        <v>57</v>
      </c>
      <c r="AA57" s="47" t="s">
        <v>57</v>
      </c>
      <c r="AB57" s="47"/>
      <c r="AC57" s="47"/>
      <c r="AD57" s="47"/>
      <c r="AE57" s="47"/>
      <c r="AF57" s="47"/>
      <c r="AG57" s="47"/>
      <c r="AH57" s="47"/>
      <c r="AI57" s="47"/>
      <c r="AJ57" s="47"/>
      <c r="AK57" s="47"/>
      <c r="AL57" s="47"/>
      <c r="AM57" s="47"/>
      <c r="AN57" s="47"/>
      <c r="AO57" s="47"/>
      <c r="AP57" s="47"/>
      <c r="AQ57" s="47"/>
      <c r="AR57" s="47"/>
      <c r="AS57" s="47"/>
      <c r="AT57" s="47"/>
      <c r="AU57" s="47"/>
      <c r="AV57" s="47"/>
    </row>
    <row r="58" spans="1:48" s="48" customFormat="1" ht="66" x14ac:dyDescent="0.25">
      <c r="A58" s="47"/>
      <c r="B58" s="49" t="s">
        <v>13</v>
      </c>
      <c r="C58" s="50">
        <v>25</v>
      </c>
      <c r="D58" s="50" t="s">
        <v>166</v>
      </c>
      <c r="E58" s="50" t="s">
        <v>167</v>
      </c>
      <c r="F58" s="51"/>
      <c r="G58" s="51"/>
      <c r="H58" s="51"/>
      <c r="I58" s="51"/>
      <c r="J58" s="51"/>
      <c r="K58" s="50" t="s">
        <v>2</v>
      </c>
      <c r="L58" s="50" t="s">
        <v>2</v>
      </c>
      <c r="M58" s="50" t="s">
        <v>54</v>
      </c>
      <c r="N58" s="50"/>
      <c r="O58" s="81"/>
      <c r="P58" s="81"/>
      <c r="Q58" s="81"/>
      <c r="S58" s="47" t="s">
        <v>20</v>
      </c>
      <c r="T58" s="47"/>
      <c r="U58" s="47" t="s">
        <v>55</v>
      </c>
      <c r="V58" s="47"/>
      <c r="W58" s="47" t="s">
        <v>9</v>
      </c>
      <c r="X58" s="47" t="s">
        <v>19</v>
      </c>
      <c r="Y58" s="47" t="s">
        <v>56</v>
      </c>
      <c r="Z58" s="47" t="s">
        <v>57</v>
      </c>
      <c r="AA58" s="47" t="s">
        <v>57</v>
      </c>
      <c r="AB58" s="47"/>
      <c r="AC58" s="47"/>
      <c r="AD58" s="47"/>
      <c r="AE58" s="47"/>
      <c r="AF58" s="47"/>
      <c r="AG58" s="47"/>
      <c r="AH58" s="47"/>
      <c r="AI58" s="47"/>
      <c r="AJ58" s="47"/>
      <c r="AK58" s="47"/>
      <c r="AL58" s="47"/>
      <c r="AM58" s="47"/>
      <c r="AN58" s="47"/>
      <c r="AO58" s="47"/>
      <c r="AP58" s="47"/>
      <c r="AQ58" s="47"/>
      <c r="AR58" s="47"/>
      <c r="AS58" s="47"/>
      <c r="AT58" s="47"/>
      <c r="AU58" s="47"/>
      <c r="AV58" s="47"/>
    </row>
    <row r="59" spans="1:48" s="48" customFormat="1" ht="52.8" x14ac:dyDescent="0.25">
      <c r="A59" s="47"/>
      <c r="B59" s="49" t="s">
        <v>13</v>
      </c>
      <c r="C59" s="50">
        <v>26</v>
      </c>
      <c r="D59" s="50" t="s">
        <v>168</v>
      </c>
      <c r="E59" s="50" t="s">
        <v>169</v>
      </c>
      <c r="F59" s="51"/>
      <c r="G59" s="51"/>
      <c r="H59" s="51"/>
      <c r="I59" s="51"/>
      <c r="J59" s="51"/>
      <c r="K59" s="50" t="s">
        <v>2</v>
      </c>
      <c r="L59" s="50" t="s">
        <v>2</v>
      </c>
      <c r="M59" s="50" t="s">
        <v>170</v>
      </c>
      <c r="N59" s="50"/>
      <c r="O59" s="81"/>
      <c r="P59" s="81"/>
      <c r="Q59" s="81"/>
      <c r="S59" s="47" t="s">
        <v>20</v>
      </c>
      <c r="T59" s="47"/>
      <c r="U59" s="47" t="s">
        <v>55</v>
      </c>
      <c r="V59" s="47"/>
      <c r="W59" s="47" t="s">
        <v>9</v>
      </c>
      <c r="X59" s="47" t="s">
        <v>19</v>
      </c>
      <c r="Y59" s="47" t="s">
        <v>56</v>
      </c>
      <c r="Z59" s="47" t="s">
        <v>57</v>
      </c>
      <c r="AA59" s="47" t="s">
        <v>57</v>
      </c>
      <c r="AB59" s="47"/>
      <c r="AC59" s="47"/>
      <c r="AD59" s="47"/>
      <c r="AE59" s="47"/>
      <c r="AF59" s="47"/>
      <c r="AG59" s="47"/>
      <c r="AH59" s="47"/>
      <c r="AI59" s="47"/>
      <c r="AJ59" s="47"/>
      <c r="AK59" s="47"/>
      <c r="AL59" s="47"/>
      <c r="AM59" s="47"/>
      <c r="AN59" s="47"/>
      <c r="AO59" s="47"/>
      <c r="AP59" s="47"/>
      <c r="AQ59" s="47"/>
      <c r="AR59" s="47"/>
      <c r="AS59" s="47"/>
      <c r="AT59" s="47"/>
      <c r="AU59" s="47"/>
      <c r="AV59" s="47"/>
    </row>
    <row r="60" spans="1:48" s="48" customFormat="1" ht="184.8" x14ac:dyDescent="0.25">
      <c r="A60" s="47"/>
      <c r="B60" s="49" t="s">
        <v>13</v>
      </c>
      <c r="C60" s="50">
        <v>27</v>
      </c>
      <c r="D60" s="50" t="s">
        <v>171</v>
      </c>
      <c r="E60" s="50" t="s">
        <v>172</v>
      </c>
      <c r="F60" s="51"/>
      <c r="G60" s="51"/>
      <c r="H60" s="51"/>
      <c r="I60" s="51"/>
      <c r="J60" s="51"/>
      <c r="K60" s="50" t="s">
        <v>2</v>
      </c>
      <c r="L60" s="50" t="s">
        <v>2</v>
      </c>
      <c r="M60" s="50" t="s">
        <v>54</v>
      </c>
      <c r="N60" s="50"/>
      <c r="O60" s="81"/>
      <c r="P60" s="81"/>
      <c r="Q60" s="81"/>
      <c r="S60" s="47" t="s">
        <v>20</v>
      </c>
      <c r="T60" s="47"/>
      <c r="U60" s="47" t="s">
        <v>55</v>
      </c>
      <c r="V60" s="47"/>
      <c r="W60" s="47" t="s">
        <v>9</v>
      </c>
      <c r="X60" s="47" t="s">
        <v>19</v>
      </c>
      <c r="Y60" s="47" t="s">
        <v>56</v>
      </c>
      <c r="Z60" s="47" t="s">
        <v>57</v>
      </c>
      <c r="AA60" s="47" t="s">
        <v>57</v>
      </c>
      <c r="AB60" s="47"/>
      <c r="AC60" s="47"/>
      <c r="AD60" s="47"/>
      <c r="AE60" s="47"/>
      <c r="AF60" s="47"/>
      <c r="AG60" s="47"/>
      <c r="AH60" s="47"/>
      <c r="AI60" s="47"/>
      <c r="AJ60" s="47"/>
      <c r="AK60" s="47"/>
      <c r="AL60" s="47"/>
      <c r="AM60" s="47"/>
      <c r="AN60" s="47"/>
      <c r="AO60" s="47"/>
      <c r="AP60" s="47"/>
      <c r="AQ60" s="47"/>
      <c r="AR60" s="47"/>
      <c r="AS60" s="47"/>
      <c r="AT60" s="47"/>
      <c r="AU60" s="47"/>
      <c r="AV60" s="47"/>
    </row>
    <row r="61" spans="1:48" s="48" customFormat="1" ht="132" x14ac:dyDescent="0.25">
      <c r="A61" s="47"/>
      <c r="B61" s="49" t="s">
        <v>13</v>
      </c>
      <c r="C61" s="50">
        <v>28</v>
      </c>
      <c r="D61" s="50" t="s">
        <v>173</v>
      </c>
      <c r="E61" s="50" t="s">
        <v>174</v>
      </c>
      <c r="F61" s="51"/>
      <c r="G61" s="51"/>
      <c r="H61" s="51"/>
      <c r="I61" s="51"/>
      <c r="J61" s="51"/>
      <c r="K61" s="50" t="s">
        <v>2</v>
      </c>
      <c r="L61" s="50" t="s">
        <v>2</v>
      </c>
      <c r="M61" s="50" t="s">
        <v>54</v>
      </c>
      <c r="N61" s="50"/>
      <c r="O61" s="81"/>
      <c r="P61" s="81"/>
      <c r="Q61" s="81"/>
      <c r="S61" s="47" t="s">
        <v>20</v>
      </c>
      <c r="T61" s="47"/>
      <c r="U61" s="47" t="s">
        <v>55</v>
      </c>
      <c r="V61" s="47"/>
      <c r="W61" s="47" t="s">
        <v>9</v>
      </c>
      <c r="X61" s="47" t="s">
        <v>19</v>
      </c>
      <c r="Y61" s="47" t="s">
        <v>56</v>
      </c>
      <c r="Z61" s="47" t="s">
        <v>57</v>
      </c>
      <c r="AA61" s="47" t="s">
        <v>57</v>
      </c>
      <c r="AB61" s="47"/>
      <c r="AC61" s="47"/>
      <c r="AD61" s="47"/>
      <c r="AE61" s="47"/>
      <c r="AF61" s="47"/>
      <c r="AG61" s="47"/>
      <c r="AH61" s="47"/>
      <c r="AI61" s="47"/>
      <c r="AJ61" s="47"/>
      <c r="AK61" s="47"/>
      <c r="AL61" s="47"/>
      <c r="AM61" s="47"/>
      <c r="AN61" s="47"/>
      <c r="AO61" s="47"/>
      <c r="AP61" s="47"/>
      <c r="AQ61" s="47"/>
      <c r="AR61" s="47"/>
      <c r="AS61" s="47"/>
      <c r="AT61" s="47"/>
      <c r="AU61" s="47"/>
      <c r="AV61" s="47"/>
    </row>
    <row r="62" spans="1:48" s="48" customFormat="1" ht="52.8" x14ac:dyDescent="0.25">
      <c r="A62" s="47"/>
      <c r="B62" s="49" t="s">
        <v>13</v>
      </c>
      <c r="C62" s="50">
        <v>29</v>
      </c>
      <c r="D62" s="50" t="s">
        <v>175</v>
      </c>
      <c r="E62" s="50" t="s">
        <v>176</v>
      </c>
      <c r="F62" s="51"/>
      <c r="G62" s="51"/>
      <c r="H62" s="51"/>
      <c r="I62" s="51"/>
      <c r="J62" s="51"/>
      <c r="K62" s="50" t="s">
        <v>2</v>
      </c>
      <c r="L62" s="50" t="s">
        <v>2</v>
      </c>
      <c r="M62" s="50" t="s">
        <v>54</v>
      </c>
      <c r="N62" s="50"/>
      <c r="O62" s="81"/>
      <c r="P62" s="81"/>
      <c r="Q62" s="81"/>
      <c r="S62" s="47" t="s">
        <v>20</v>
      </c>
      <c r="T62" s="47"/>
      <c r="U62" s="47" t="s">
        <v>55</v>
      </c>
      <c r="V62" s="47"/>
      <c r="W62" s="47" t="s">
        <v>9</v>
      </c>
      <c r="X62" s="47" t="s">
        <v>19</v>
      </c>
      <c r="Y62" s="47" t="s">
        <v>56</v>
      </c>
      <c r="Z62" s="47" t="s">
        <v>57</v>
      </c>
      <c r="AA62" s="47" t="s">
        <v>57</v>
      </c>
      <c r="AB62" s="47"/>
      <c r="AC62" s="47"/>
      <c r="AD62" s="47"/>
      <c r="AE62" s="47"/>
      <c r="AF62" s="47"/>
      <c r="AG62" s="47"/>
      <c r="AH62" s="47"/>
      <c r="AI62" s="47"/>
      <c r="AJ62" s="47"/>
      <c r="AK62" s="47"/>
      <c r="AL62" s="47"/>
      <c r="AM62" s="47"/>
      <c r="AN62" s="47"/>
      <c r="AO62" s="47"/>
      <c r="AP62" s="47"/>
      <c r="AQ62" s="47"/>
      <c r="AR62" s="47"/>
      <c r="AS62" s="47"/>
      <c r="AT62" s="47"/>
      <c r="AU62" s="47"/>
      <c r="AV62" s="47"/>
    </row>
    <row r="63" spans="1:48" s="48" customFormat="1" ht="26.4" x14ac:dyDescent="0.25">
      <c r="A63" s="47"/>
      <c r="B63" s="49" t="s">
        <v>13</v>
      </c>
      <c r="C63" s="50">
        <v>30</v>
      </c>
      <c r="D63" s="50" t="s">
        <v>177</v>
      </c>
      <c r="E63" s="50" t="s">
        <v>178</v>
      </c>
      <c r="F63" s="51"/>
      <c r="G63" s="51"/>
      <c r="H63" s="51"/>
      <c r="I63" s="51"/>
      <c r="J63" s="51"/>
      <c r="K63" s="50" t="s">
        <v>2</v>
      </c>
      <c r="L63" s="50" t="s">
        <v>2</v>
      </c>
      <c r="M63" s="50" t="s">
        <v>54</v>
      </c>
      <c r="N63" s="50"/>
      <c r="O63" s="81"/>
      <c r="P63" s="81" t="s">
        <v>210</v>
      </c>
      <c r="Q63" s="81"/>
      <c r="S63" s="47" t="s">
        <v>20</v>
      </c>
      <c r="T63" s="47"/>
      <c r="U63" s="47" t="s">
        <v>55</v>
      </c>
      <c r="V63" s="47"/>
      <c r="W63" s="47" t="s">
        <v>9</v>
      </c>
      <c r="X63" s="47" t="s">
        <v>19</v>
      </c>
      <c r="Y63" s="47" t="s">
        <v>56</v>
      </c>
      <c r="Z63" s="47" t="s">
        <v>57</v>
      </c>
      <c r="AA63" s="47" t="s">
        <v>57</v>
      </c>
      <c r="AB63" s="47"/>
      <c r="AC63" s="47"/>
      <c r="AD63" s="47"/>
      <c r="AE63" s="47"/>
      <c r="AF63" s="47"/>
      <c r="AG63" s="47"/>
      <c r="AH63" s="47"/>
      <c r="AI63" s="47"/>
      <c r="AJ63" s="47"/>
      <c r="AK63" s="47"/>
      <c r="AL63" s="47"/>
      <c r="AM63" s="47"/>
      <c r="AN63" s="47"/>
      <c r="AO63" s="47"/>
      <c r="AP63" s="47"/>
      <c r="AQ63" s="47"/>
      <c r="AR63" s="47"/>
      <c r="AS63" s="47"/>
      <c r="AT63" s="47"/>
      <c r="AU63" s="47"/>
      <c r="AV63" s="47"/>
    </row>
    <row r="64" spans="1:48" s="48" customFormat="1" ht="92.4" x14ac:dyDescent="0.25">
      <c r="A64" s="47"/>
      <c r="B64" s="49" t="s">
        <v>179</v>
      </c>
      <c r="C64" s="50">
        <v>10</v>
      </c>
      <c r="D64" s="50" t="s">
        <v>180</v>
      </c>
      <c r="E64" s="50" t="s">
        <v>181</v>
      </c>
      <c r="F64" s="51"/>
      <c r="G64" s="51"/>
      <c r="H64" s="51"/>
      <c r="I64" s="51"/>
      <c r="J64" s="51"/>
      <c r="K64" s="50" t="s">
        <v>1</v>
      </c>
      <c r="L64" s="50" t="s">
        <v>2</v>
      </c>
      <c r="M64" s="50" t="s">
        <v>182</v>
      </c>
      <c r="N64" s="50"/>
      <c r="O64" s="81"/>
      <c r="P64" s="81"/>
      <c r="Q64" s="81"/>
      <c r="S64" s="47" t="s">
        <v>20</v>
      </c>
      <c r="T64" s="47"/>
      <c r="U64" s="47" t="s">
        <v>55</v>
      </c>
      <c r="V64" s="47"/>
      <c r="W64" s="47" t="s">
        <v>9</v>
      </c>
      <c r="X64" s="47" t="s">
        <v>19</v>
      </c>
      <c r="Y64" s="47" t="s">
        <v>56</v>
      </c>
      <c r="Z64" s="47" t="s">
        <v>57</v>
      </c>
      <c r="AA64" s="47" t="s">
        <v>57</v>
      </c>
      <c r="AB64" s="47"/>
      <c r="AC64" s="47"/>
      <c r="AD64" s="47"/>
      <c r="AE64" s="47"/>
      <c r="AF64" s="47"/>
      <c r="AG64" s="47"/>
      <c r="AH64" s="47"/>
      <c r="AI64" s="47"/>
      <c r="AJ64" s="47"/>
      <c r="AK64" s="47"/>
      <c r="AL64" s="47"/>
      <c r="AM64" s="47"/>
      <c r="AN64" s="47"/>
      <c r="AO64" s="47"/>
      <c r="AP64" s="47"/>
      <c r="AQ64" s="47"/>
      <c r="AR64" s="47"/>
      <c r="AS64" s="47"/>
      <c r="AT64" s="47"/>
      <c r="AU64" s="47"/>
      <c r="AV64" s="47"/>
    </row>
    <row r="65" spans="1:48" s="72" customFormat="1" ht="237.6" x14ac:dyDescent="0.25">
      <c r="A65" s="69"/>
      <c r="B65" s="70" t="s">
        <v>275</v>
      </c>
      <c r="C65" s="69" t="s">
        <v>235</v>
      </c>
      <c r="D65" s="69" t="s">
        <v>239</v>
      </c>
      <c r="E65" s="69" t="s">
        <v>59</v>
      </c>
      <c r="F65" s="71">
        <v>2.1170010018458445</v>
      </c>
      <c r="G65" s="71">
        <v>9.4813533036354425</v>
      </c>
      <c r="H65" s="71">
        <v>10.449877673990132</v>
      </c>
      <c r="I65" s="71">
        <v>10.591814287349544</v>
      </c>
      <c r="J65" s="71">
        <v>10.65</v>
      </c>
      <c r="K65" s="69" t="s">
        <v>259</v>
      </c>
      <c r="L65" s="69" t="s">
        <v>2</v>
      </c>
      <c r="M65" s="69" t="s">
        <v>54</v>
      </c>
      <c r="N65" s="69" t="s">
        <v>267</v>
      </c>
      <c r="O65" s="80" t="s">
        <v>24</v>
      </c>
      <c r="P65" s="80" t="s">
        <v>190</v>
      </c>
      <c r="Q65" s="80"/>
      <c r="S65" s="69" t="s">
        <v>16</v>
      </c>
      <c r="T65" s="69"/>
      <c r="U65" s="69" t="s">
        <v>28</v>
      </c>
      <c r="V65" s="69" t="s">
        <v>24</v>
      </c>
      <c r="W65" s="69" t="s">
        <v>9</v>
      </c>
      <c r="X65" s="69" t="s">
        <v>19</v>
      </c>
      <c r="Y65" s="69" t="s">
        <v>241</v>
      </c>
      <c r="Z65" s="69" t="s">
        <v>185</v>
      </c>
      <c r="AA65" s="69" t="s">
        <v>57</v>
      </c>
      <c r="AB65" s="69"/>
      <c r="AC65" s="69" t="s">
        <v>219</v>
      </c>
      <c r="AD65" s="69"/>
      <c r="AE65" s="71">
        <v>-2.1170010018458401</v>
      </c>
      <c r="AF65" s="71">
        <v>0</v>
      </c>
      <c r="AG65" s="71">
        <v>0</v>
      </c>
      <c r="AH65" s="71">
        <v>-9.4813533036354407</v>
      </c>
      <c r="AI65" s="71">
        <v>0</v>
      </c>
      <c r="AJ65" s="71">
        <v>0</v>
      </c>
      <c r="AK65" s="71">
        <v>-10.4498776739901</v>
      </c>
      <c r="AL65" s="71">
        <v>0</v>
      </c>
      <c r="AM65" s="71">
        <v>0</v>
      </c>
      <c r="AN65" s="71">
        <v>-10.5918142873495</v>
      </c>
      <c r="AO65" s="71">
        <v>0</v>
      </c>
      <c r="AP65" s="71">
        <v>0</v>
      </c>
      <c r="AQ65" s="71">
        <v>-10.65</v>
      </c>
      <c r="AR65" s="71">
        <v>0</v>
      </c>
      <c r="AS65" s="71">
        <v>0</v>
      </c>
      <c r="AT65" s="71">
        <v>-10.65</v>
      </c>
      <c r="AU65" s="71">
        <v>0</v>
      </c>
      <c r="AV65" s="71">
        <v>0</v>
      </c>
    </row>
    <row r="66" spans="1:48" s="72" customFormat="1" ht="145.19999999999999" x14ac:dyDescent="0.25">
      <c r="A66" s="69"/>
      <c r="B66" s="70" t="s">
        <v>14</v>
      </c>
      <c r="C66" s="69" t="s">
        <v>238</v>
      </c>
      <c r="D66" s="69" t="s">
        <v>240</v>
      </c>
      <c r="E66" s="69" t="s">
        <v>59</v>
      </c>
      <c r="F66" s="71">
        <v>1.0546815466231423</v>
      </c>
      <c r="G66" s="71">
        <v>4.7235728077784032</v>
      </c>
      <c r="H66" s="71">
        <v>5.2060878278361322</v>
      </c>
      <c r="I66" s="71">
        <v>5.2768000886096686</v>
      </c>
      <c r="J66" s="71">
        <v>5.3057879810839967</v>
      </c>
      <c r="K66" s="69" t="s">
        <v>0</v>
      </c>
      <c r="L66" s="69" t="s">
        <v>2</v>
      </c>
      <c r="M66" s="69" t="s">
        <v>54</v>
      </c>
      <c r="N66" s="69" t="s">
        <v>264</v>
      </c>
      <c r="O66" s="80" t="s">
        <v>24</v>
      </c>
      <c r="P66" s="80" t="s">
        <v>190</v>
      </c>
      <c r="Q66" s="96">
        <v>43017</v>
      </c>
      <c r="S66" s="69" t="s">
        <v>16</v>
      </c>
      <c r="T66" s="69"/>
      <c r="U66" s="69" t="s">
        <v>28</v>
      </c>
      <c r="V66" s="69" t="s">
        <v>24</v>
      </c>
      <c r="W66" s="69" t="s">
        <v>9</v>
      </c>
      <c r="X66" s="69" t="s">
        <v>19</v>
      </c>
      <c r="Y66" s="69" t="s">
        <v>56</v>
      </c>
      <c r="Z66" s="69" t="s">
        <v>57</v>
      </c>
      <c r="AA66" s="69" t="s">
        <v>57</v>
      </c>
      <c r="AB66" s="69"/>
      <c r="AC66" s="69" t="s">
        <v>218</v>
      </c>
      <c r="AD66" s="69"/>
      <c r="AE66" s="71">
        <v>-1.0546815466231401</v>
      </c>
      <c r="AF66" s="71"/>
      <c r="AG66" s="71">
        <v>0</v>
      </c>
      <c r="AH66" s="71">
        <v>-4.7235728077783996</v>
      </c>
      <c r="AI66" s="71"/>
      <c r="AJ66" s="83">
        <v>0</v>
      </c>
      <c r="AK66" s="71">
        <v>-5.2060878278361304</v>
      </c>
      <c r="AL66" s="83"/>
      <c r="AM66" s="83">
        <v>0</v>
      </c>
      <c r="AN66" s="71">
        <v>-5.2768000886096704</v>
      </c>
      <c r="AO66" s="83"/>
      <c r="AP66" s="83">
        <v>0</v>
      </c>
      <c r="AQ66" s="71">
        <v>-5.3057879810840003</v>
      </c>
      <c r="AR66" s="83"/>
      <c r="AS66" s="83">
        <v>0</v>
      </c>
      <c r="AT66" s="71">
        <v>-5.3057879810840003</v>
      </c>
      <c r="AU66" s="83"/>
      <c r="AV66" s="83">
        <v>0</v>
      </c>
    </row>
    <row r="67" spans="1:48" s="72" customFormat="1" ht="237.6" x14ac:dyDescent="0.25">
      <c r="A67" s="69"/>
      <c r="B67" s="70" t="s">
        <v>13</v>
      </c>
      <c r="C67" s="69" t="s">
        <v>233</v>
      </c>
      <c r="D67" s="69" t="s">
        <v>236</v>
      </c>
      <c r="E67" s="69" t="s">
        <v>134</v>
      </c>
      <c r="F67" s="71">
        <v>2.1170010018458445</v>
      </c>
      <c r="G67" s="71">
        <v>9.4813533036354425</v>
      </c>
      <c r="H67" s="71">
        <v>10.449877673990132</v>
      </c>
      <c r="I67" s="71">
        <v>10.591814287349544</v>
      </c>
      <c r="J67" s="71">
        <v>10.65</v>
      </c>
      <c r="K67" s="69" t="s">
        <v>259</v>
      </c>
      <c r="L67" s="69" t="s">
        <v>2</v>
      </c>
      <c r="M67" s="69" t="s">
        <v>54</v>
      </c>
      <c r="N67" s="69" t="s">
        <v>267</v>
      </c>
      <c r="O67" s="80" t="s">
        <v>24</v>
      </c>
      <c r="P67" s="80" t="s">
        <v>190</v>
      </c>
      <c r="Q67" s="96">
        <v>43017</v>
      </c>
      <c r="S67" s="69" t="s">
        <v>16</v>
      </c>
      <c r="T67" s="69"/>
      <c r="U67" s="69" t="s">
        <v>28</v>
      </c>
      <c r="V67" s="69" t="s">
        <v>24</v>
      </c>
      <c r="W67" s="69" t="s">
        <v>9</v>
      </c>
      <c r="X67" s="69" t="s">
        <v>19</v>
      </c>
      <c r="Y67" s="69" t="s">
        <v>241</v>
      </c>
      <c r="Z67" s="69" t="s">
        <v>185</v>
      </c>
      <c r="AA67" s="69" t="s">
        <v>57</v>
      </c>
      <c r="AB67" s="69"/>
      <c r="AC67" s="69" t="s">
        <v>219</v>
      </c>
      <c r="AD67" s="69"/>
      <c r="AE67" s="71">
        <v>0</v>
      </c>
      <c r="AF67" s="71">
        <v>0</v>
      </c>
      <c r="AG67" s="71">
        <v>2.1170010018458401</v>
      </c>
      <c r="AH67" s="71">
        <v>0</v>
      </c>
      <c r="AI67" s="71">
        <v>0</v>
      </c>
      <c r="AJ67" s="71">
        <v>9.4813533036354407</v>
      </c>
      <c r="AK67" s="71">
        <v>0</v>
      </c>
      <c r="AL67" s="71">
        <v>0</v>
      </c>
      <c r="AM67" s="71">
        <v>10.4498776739901</v>
      </c>
      <c r="AN67" s="71">
        <v>0</v>
      </c>
      <c r="AO67" s="71">
        <v>0</v>
      </c>
      <c r="AP67" s="71">
        <v>10.5918142873495</v>
      </c>
      <c r="AQ67" s="71">
        <v>0</v>
      </c>
      <c r="AR67" s="71">
        <v>0</v>
      </c>
      <c r="AS67" s="71">
        <v>10.65</v>
      </c>
      <c r="AT67" s="71">
        <v>0</v>
      </c>
      <c r="AU67" s="71">
        <v>0</v>
      </c>
      <c r="AV67" s="71">
        <v>10.65</v>
      </c>
    </row>
    <row r="68" spans="1:48" s="72" customFormat="1" ht="171.6" x14ac:dyDescent="0.25">
      <c r="A68" s="69"/>
      <c r="B68" s="70" t="s">
        <v>13</v>
      </c>
      <c r="C68" s="69" t="s">
        <v>234</v>
      </c>
      <c r="D68" s="69" t="s">
        <v>237</v>
      </c>
      <c r="E68" s="69" t="s">
        <v>134</v>
      </c>
      <c r="F68" s="71">
        <v>3.0369831394162592</v>
      </c>
      <c r="G68" s="71">
        <v>13.601651627412059</v>
      </c>
      <c r="H68" s="71">
        <v>14.991066266477555</v>
      </c>
      <c r="I68" s="71">
        <v>15.194684073584183</v>
      </c>
      <c r="J68" s="71">
        <v>15.278155469261501</v>
      </c>
      <c r="K68" s="69" t="s">
        <v>0</v>
      </c>
      <c r="L68" s="69" t="s">
        <v>2</v>
      </c>
      <c r="M68" s="69" t="s">
        <v>54</v>
      </c>
      <c r="N68" s="69" t="s">
        <v>255</v>
      </c>
      <c r="O68" s="80" t="s">
        <v>24</v>
      </c>
      <c r="P68" s="80" t="s">
        <v>190</v>
      </c>
      <c r="Q68" s="96">
        <v>43017</v>
      </c>
      <c r="S68" s="69" t="s">
        <v>16</v>
      </c>
      <c r="T68" s="69"/>
      <c r="U68" s="69" t="s">
        <v>28</v>
      </c>
      <c r="V68" s="69" t="s">
        <v>24</v>
      </c>
      <c r="W68" s="69" t="s">
        <v>9</v>
      </c>
      <c r="X68" s="69" t="s">
        <v>19</v>
      </c>
      <c r="Y68" s="69" t="s">
        <v>56</v>
      </c>
      <c r="Z68" s="69" t="s">
        <v>57</v>
      </c>
      <c r="AA68" s="69" t="s">
        <v>57</v>
      </c>
      <c r="AB68" s="69"/>
      <c r="AC68" s="69" t="s">
        <v>219</v>
      </c>
      <c r="AD68" s="69"/>
      <c r="AE68" s="69">
        <v>0</v>
      </c>
      <c r="AF68" s="69">
        <v>7.0000000000000007E-2</v>
      </c>
      <c r="AG68" s="93">
        <v>7.0000000000000007E-2</v>
      </c>
      <c r="AH68" s="69">
        <v>0</v>
      </c>
      <c r="AI68" s="69">
        <v>7.0000000000000007E-2</v>
      </c>
      <c r="AJ68" s="93">
        <v>7.0000000000000007E-2</v>
      </c>
      <c r="AK68" s="69">
        <v>0</v>
      </c>
      <c r="AL68" s="69">
        <v>7.0000000000000007E-2</v>
      </c>
      <c r="AM68" s="93">
        <v>7.0000000000000007E-2</v>
      </c>
      <c r="AN68" s="69">
        <v>0</v>
      </c>
      <c r="AO68" s="69">
        <v>7.0000000000000007E-2</v>
      </c>
      <c r="AP68" s="93">
        <v>7.0000000000000007E-2</v>
      </c>
      <c r="AQ68" s="69">
        <v>0</v>
      </c>
      <c r="AR68" s="69">
        <v>7.0000000000000007E-2</v>
      </c>
      <c r="AS68" s="93">
        <v>7.0000000000000007E-2</v>
      </c>
      <c r="AT68" s="69">
        <v>0</v>
      </c>
      <c r="AU68" s="69">
        <v>7.0000000000000007E-2</v>
      </c>
      <c r="AV68" s="93">
        <v>7.0000000000000007E-2</v>
      </c>
    </row>
  </sheetData>
  <autoFilter ref="A9:Q68"/>
  <mergeCells count="6">
    <mergeCell ref="AT8:AV8"/>
    <mergeCell ref="AE8:AG8"/>
    <mergeCell ref="AH8:AJ8"/>
    <mergeCell ref="AK8:AM8"/>
    <mergeCell ref="AN8:AP8"/>
    <mergeCell ref="AQ8:AS8"/>
  </mergeCells>
  <conditionalFormatting sqref="AJ20 AR20:AS20 AO20:AP20 AL20:AM20 AU20:AV20 AE21:AV28 AF32:AG32 AI32 AE33:AV33 AE35:AV41 AE34:AF34 AN34:AO34 AQ34:AR34 AT34:AU34 AE43:AV43 AE45:AV45 AE44:AF44 AL44 AT44:AU44 AQ44:AR44 AN44:AO44 AE46 AJ46:AK46 AS46:AT46 AP46:AQ46 AM46:AN46 AV46 AE47:AV51 AE30:AV31 AE29:AH29 AJ29:AK29 AM29 AE53:AV64 AE52 AK52 AN52 AQ52 AT52">
    <cfRule type="expression" dxfId="51" priority="85">
      <formula>OR($AC20="Uniform distribution - +/- x%",$AC20="Triangular distribution - +/- x%")</formula>
    </cfRule>
    <cfRule type="expression" dxfId="50" priority="87">
      <formula>$AC20="Single value"</formula>
    </cfRule>
  </conditionalFormatting>
  <conditionalFormatting sqref="AJ20 AR20:AS20 AO20:AP20 AL20:AM20 AU20:AV20 AH21:AV28 AI32 AH33:AV33 AH35:AV41 AT34:AU34 AQ34:AR34 AN34:AO34 AH43:AV43 AH45:AV45 AL44 AT44:AU44 AQ44:AR44 AN44:AO44 AH47:AV51 AJ46:AK46 AS46:AT46 AP46:AQ46 AM46:AN46 AV46 AH30:AV31 AH29 AJ29:AK29 AM29 AH53:AV64 AK52 AT52 AQ52 AN52">
    <cfRule type="expression" dxfId="49" priority="86">
      <formula>$AD20="Same"</formula>
    </cfRule>
  </conditionalFormatting>
  <conditionalFormatting sqref="AL32">
    <cfRule type="expression" dxfId="48" priority="64">
      <formula>OR($AC32="Uniform distribution - +/- x%",$AC32="Triangular distribution - +/- x%")</formula>
    </cfRule>
    <cfRule type="expression" dxfId="47" priority="66">
      <formula>$AC32="Single value"</formula>
    </cfRule>
  </conditionalFormatting>
  <conditionalFormatting sqref="AL32">
    <cfRule type="expression" dxfId="46" priority="65">
      <formula>$AD32="Same"</formula>
    </cfRule>
  </conditionalFormatting>
  <conditionalFormatting sqref="AO32">
    <cfRule type="expression" dxfId="45" priority="61">
      <formula>OR($AC32="Uniform distribution - +/- x%",$AC32="Triangular distribution - +/- x%")</formula>
    </cfRule>
    <cfRule type="expression" dxfId="44" priority="63">
      <formula>$AC32="Single value"</formula>
    </cfRule>
  </conditionalFormatting>
  <conditionalFormatting sqref="AO32">
    <cfRule type="expression" dxfId="43" priority="62">
      <formula>$AD32="Same"</formula>
    </cfRule>
  </conditionalFormatting>
  <conditionalFormatting sqref="AR32">
    <cfRule type="expression" dxfId="42" priority="58">
      <formula>OR($AC32="Uniform distribution - +/- x%",$AC32="Triangular distribution - +/- x%")</formula>
    </cfRule>
    <cfRule type="expression" dxfId="41" priority="60">
      <formula>$AC32="Single value"</formula>
    </cfRule>
  </conditionalFormatting>
  <conditionalFormatting sqref="AR32">
    <cfRule type="expression" dxfId="40" priority="59">
      <formula>$AD32="Same"</formula>
    </cfRule>
  </conditionalFormatting>
  <conditionalFormatting sqref="AU32">
    <cfRule type="expression" dxfId="39" priority="55">
      <formula>OR($AC32="Uniform distribution - +/- x%",$AC32="Triangular distribution - +/- x%")</formula>
    </cfRule>
    <cfRule type="expression" dxfId="38" priority="57">
      <formula>$AC32="Single value"</formula>
    </cfRule>
  </conditionalFormatting>
  <conditionalFormatting sqref="AU32">
    <cfRule type="expression" dxfId="37" priority="56">
      <formula>$AD32="Same"</formula>
    </cfRule>
  </conditionalFormatting>
  <conditionalFormatting sqref="AH34:AI34">
    <cfRule type="expression" dxfId="36" priority="53">
      <formula>OR($AC34="Uniform distribution - +/- x%",$AC34="Triangular distribution - +/- x%")</formula>
    </cfRule>
    <cfRule type="expression" dxfId="35" priority="54">
      <formula>$AC34="Single value"</formula>
    </cfRule>
  </conditionalFormatting>
  <conditionalFormatting sqref="AK34:AL34">
    <cfRule type="expression" dxfId="34" priority="51">
      <formula>OR($AC34="Uniform distribution - +/- x%",$AC34="Triangular distribution - +/- x%")</formula>
    </cfRule>
    <cfRule type="expression" dxfId="33" priority="52">
      <formula>$AC34="Single value"</formula>
    </cfRule>
  </conditionalFormatting>
  <conditionalFormatting sqref="AK68:AL68">
    <cfRule type="expression" dxfId="32" priority="37">
      <formula>OR($AC68="Uniform distribution - +/- x%",$AC68="Triangular distribution - +/- x%")</formula>
    </cfRule>
    <cfRule type="expression" dxfId="31" priority="38">
      <formula>$AC68="Single value"</formula>
    </cfRule>
  </conditionalFormatting>
  <conditionalFormatting sqref="AN68:AO68">
    <cfRule type="expression" dxfId="30" priority="35">
      <formula>OR($AC68="Uniform distribution - +/- x%",$AC68="Triangular distribution - +/- x%")</formula>
    </cfRule>
    <cfRule type="expression" dxfId="29" priority="36">
      <formula>$AC68="Single value"</formula>
    </cfRule>
  </conditionalFormatting>
  <conditionalFormatting sqref="AE68:AF68">
    <cfRule type="expression" dxfId="28" priority="41">
      <formula>OR($AC68="Uniform distribution - +/- x%",$AC68="Triangular distribution - +/- x%")</formula>
    </cfRule>
    <cfRule type="expression" dxfId="27" priority="43">
      <formula>$AC68="Single value"</formula>
    </cfRule>
  </conditionalFormatting>
  <conditionalFormatting sqref="AH68:AI68">
    <cfRule type="expression" dxfId="26" priority="39">
      <formula>OR($AC68="Uniform distribution - +/- x%",$AC68="Triangular distribution - +/- x%")</formula>
    </cfRule>
    <cfRule type="expression" dxfId="25" priority="40">
      <formula>$AC68="Single value"</formula>
    </cfRule>
  </conditionalFormatting>
  <conditionalFormatting sqref="AQ68:AR68">
    <cfRule type="expression" dxfId="24" priority="33">
      <formula>OR($AC68="Uniform distribution - +/- x%",$AC68="Triangular distribution - +/- x%")</formula>
    </cfRule>
    <cfRule type="expression" dxfId="23" priority="34">
      <formula>$AC68="Single value"</formula>
    </cfRule>
  </conditionalFormatting>
  <conditionalFormatting sqref="AT68:AU68">
    <cfRule type="expression" dxfId="22" priority="31">
      <formula>OR($AC68="Uniform distribution - +/- x%",$AC68="Triangular distribution - +/- x%")</formula>
    </cfRule>
    <cfRule type="expression" dxfId="21" priority="32">
      <formula>$AC68="Single value"</formula>
    </cfRule>
  </conditionalFormatting>
  <conditionalFormatting sqref="AN29 AP29">
    <cfRule type="expression" dxfId="20" priority="19">
      <formula>OR($AC29="Uniform distribution - +/- x%",$AC29="Triangular distribution - +/- x%")</formula>
    </cfRule>
    <cfRule type="expression" dxfId="19" priority="21">
      <formula>$AC29="Single value"</formula>
    </cfRule>
  </conditionalFormatting>
  <conditionalFormatting sqref="AN29 AP29">
    <cfRule type="expression" dxfId="18" priority="20">
      <formula>$AD29="Same"</formula>
    </cfRule>
  </conditionalFormatting>
  <conditionalFormatting sqref="AQ29 AS29">
    <cfRule type="expression" dxfId="17" priority="16">
      <formula>OR($AC29="Uniform distribution - +/- x%",$AC29="Triangular distribution - +/- x%")</formula>
    </cfRule>
    <cfRule type="expression" dxfId="16" priority="18">
      <formula>$AC29="Single value"</formula>
    </cfRule>
  </conditionalFormatting>
  <conditionalFormatting sqref="AQ29 AS29">
    <cfRule type="expression" dxfId="15" priority="17">
      <formula>$AD29="Same"</formula>
    </cfRule>
  </conditionalFormatting>
  <conditionalFormatting sqref="AT29 AV29">
    <cfRule type="expression" dxfId="14" priority="13">
      <formula>OR($AC29="Uniform distribution - +/- x%",$AC29="Triangular distribution - +/- x%")</formula>
    </cfRule>
    <cfRule type="expression" dxfId="13" priority="15">
      <formula>$AC29="Single value"</formula>
    </cfRule>
  </conditionalFormatting>
  <conditionalFormatting sqref="AT29 AV29">
    <cfRule type="expression" dxfId="12" priority="14">
      <formula>$AD29="Same"</formula>
    </cfRule>
  </conditionalFormatting>
  <conditionalFormatting sqref="AT32">
    <cfRule type="expression" dxfId="11" priority="10">
      <formula>OR($AC32="Uniform distribution - +/- x%",$AC32="Triangular distribution - +/- x%")</formula>
    </cfRule>
    <cfRule type="expression" dxfId="10" priority="12">
      <formula>$AC32="Single value"</formula>
    </cfRule>
  </conditionalFormatting>
  <conditionalFormatting sqref="AT32">
    <cfRule type="expression" dxfId="9" priority="11">
      <formula>$AD32="Same"</formula>
    </cfRule>
  </conditionalFormatting>
  <conditionalFormatting sqref="AQ32">
    <cfRule type="expression" dxfId="8" priority="7">
      <formula>OR($AC32="Uniform distribution - +/- x%",$AC32="Triangular distribution - +/- x%")</formula>
    </cfRule>
    <cfRule type="expression" dxfId="7" priority="9">
      <formula>$AC32="Single value"</formula>
    </cfRule>
  </conditionalFormatting>
  <conditionalFormatting sqref="AQ32">
    <cfRule type="expression" dxfId="6" priority="8">
      <formula>$AD32="Same"</formula>
    </cfRule>
  </conditionalFormatting>
  <conditionalFormatting sqref="AK32">
    <cfRule type="expression" dxfId="5" priority="5">
      <formula>OR($AC32="Uniform distribution - +/- x%",$AC32="Triangular distribution - +/- x%")</formula>
    </cfRule>
    <cfRule type="expression" dxfId="4" priority="6">
      <formula>$AC32="Single value"</formula>
    </cfRule>
  </conditionalFormatting>
  <conditionalFormatting sqref="AH32">
    <cfRule type="expression" dxfId="3" priority="3">
      <formula>OR($AC32="Uniform distribution - +/- x%",$AC32="Triangular distribution - +/- x%")</formula>
    </cfRule>
    <cfRule type="expression" dxfId="2" priority="4">
      <formula>$AC32="Single value"</formula>
    </cfRule>
  </conditionalFormatting>
  <conditionalFormatting sqref="AH52">
    <cfRule type="expression" dxfId="1" priority="1">
      <formula>OR($AC52="Uniform distribution - +/- x%",$AC52="Triangular distribution - +/- x%")</formula>
    </cfRule>
    <cfRule type="expression" dxfId="0" priority="2">
      <formula>$AC52="Single value"</formula>
    </cfRule>
  </conditionalFormatting>
  <dataValidations count="8">
    <dataValidation type="list" allowBlank="1" showInputMessage="1" showErrorMessage="1" sqref="AC10:AC68">
      <formula1>$AC$2:$AC$7</formula1>
    </dataValidation>
    <dataValidation type="list" allowBlank="1" showInputMessage="1" showErrorMessage="1" sqref="Z10:AA68">
      <formula1>"Independent, Dependent"</formula1>
    </dataValidation>
    <dataValidation type="list" allowBlank="1" showInputMessage="1" showErrorMessage="1" sqref="Y10:Y68">
      <formula1>"Uncertainty in forecast, Risk/Opportunity, Both"</formula1>
    </dataValidation>
    <dataValidation type="list" allowBlank="1" showInputMessage="1" showErrorMessage="1" sqref="X10:X68">
      <formula1>"FRDEL, NFRDEL, CDEL, AME"</formula1>
    </dataValidation>
    <dataValidation type="list" allowBlank="1" showInputMessage="1" showErrorMessage="1" sqref="W10:W68">
      <formula1>"BAU, Change"</formula1>
    </dataValidation>
    <dataValidation type="list" allowBlank="1" showInputMessage="1" showErrorMessage="1" sqref="V10:V28 V30:V35 V37:V68">
      <formula1>$V$2:$V$7</formula1>
    </dataValidation>
    <dataValidation type="list" allowBlank="1" showInputMessage="1" showErrorMessage="1" sqref="U10:U68">
      <formula1>"Ops, Policy"</formula1>
    </dataValidation>
    <dataValidation type="list" allowBlank="1" showInputMessage="1" showErrorMessage="1" sqref="S10:S68">
      <formula1>"Yes, No"</formula1>
    </dataValidation>
  </dataValidations>
  <pageMargins left="0.70866141732283472" right="0.70866141732283472" top="0.74803149606299213" bottom="0.74803149606299213" header="0.31496062992125984" footer="0.31496062992125984"/>
  <pageSetup paperSize="8" scale="53" fitToWidth="2" fitToHeight="2" orientation="landscape" r:id="rId1"/>
  <rowBreaks count="1" manualBreakCount="1">
    <brk id="33" max="38" man="1"/>
  </rowBreaks>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rgb="FFFFFFCC"/>
  </sheetPr>
  <dimension ref="B1:O19"/>
  <sheetViews>
    <sheetView zoomScale="80" zoomScaleNormal="80" workbookViewId="0">
      <selection activeCell="B10" sqref="B10"/>
    </sheetView>
  </sheetViews>
  <sheetFormatPr defaultColWidth="9.109375" defaultRowHeight="13.8" x14ac:dyDescent="0.25"/>
  <cols>
    <col min="1" max="1" width="9.109375" style="1"/>
    <col min="2" max="2" width="34.5546875" style="1" bestFit="1" customWidth="1"/>
    <col min="3" max="9" width="9.109375" style="1"/>
    <col min="10" max="10" width="12.109375" style="1" bestFit="1" customWidth="1"/>
    <col min="11" max="16384" width="9.109375" style="1"/>
  </cols>
  <sheetData>
    <row r="1" spans="2:15" x14ac:dyDescent="0.25">
      <c r="B1" s="3" t="s">
        <v>330</v>
      </c>
      <c r="C1" s="11"/>
    </row>
    <row r="2" spans="2:15" x14ac:dyDescent="0.25">
      <c r="B2" s="11"/>
      <c r="C2" s="11"/>
    </row>
    <row r="3" spans="2:15" s="14" customFormat="1" x14ac:dyDescent="0.25">
      <c r="B3" s="16" t="s">
        <v>298</v>
      </c>
      <c r="C3" s="16"/>
      <c r="J3" s="16"/>
    </row>
    <row r="4" spans="2:15" x14ac:dyDescent="0.25">
      <c r="B4" s="11"/>
      <c r="C4" s="11"/>
    </row>
    <row r="5" spans="2:15" x14ac:dyDescent="0.25">
      <c r="C5" s="132" t="s">
        <v>348</v>
      </c>
      <c r="D5" s="132" t="s">
        <v>349</v>
      </c>
      <c r="E5" s="132" t="s">
        <v>350</v>
      </c>
      <c r="F5" s="132" t="s">
        <v>351</v>
      </c>
      <c r="G5" s="132" t="s">
        <v>352</v>
      </c>
    </row>
    <row r="6" spans="2:15" x14ac:dyDescent="0.25">
      <c r="B6" s="131" t="s">
        <v>359</v>
      </c>
      <c r="C6" s="134">
        <f ca="1">C19</f>
        <v>0.73089334322582644</v>
      </c>
      <c r="D6" s="134">
        <f t="shared" ref="D6:G6" ca="1" si="0">D19</f>
        <v>-1.9378645185993517</v>
      </c>
      <c r="E6" s="134">
        <f t="shared" ca="1" si="0"/>
        <v>7.4919590357361869</v>
      </c>
      <c r="F6" s="134">
        <f t="shared" ca="1" si="0"/>
        <v>3.5324635350924729</v>
      </c>
      <c r="G6" s="134">
        <f t="shared" ca="1" si="0"/>
        <v>-13.764181394452365</v>
      </c>
      <c r="K6" s="8"/>
      <c r="L6" s="8"/>
      <c r="M6" s="8"/>
      <c r="N6" s="8"/>
      <c r="O6" s="8"/>
    </row>
    <row r="8" spans="2:15" s="14" customFormat="1" x14ac:dyDescent="0.25">
      <c r="B8" s="16" t="s">
        <v>358</v>
      </c>
      <c r="C8" s="16"/>
      <c r="J8" s="16"/>
    </row>
    <row r="10" spans="2:15" x14ac:dyDescent="0.25">
      <c r="B10" s="132"/>
      <c r="C10" s="132" t="s">
        <v>348</v>
      </c>
      <c r="D10" s="132" t="s">
        <v>349</v>
      </c>
      <c r="E10" s="132" t="s">
        <v>350</v>
      </c>
      <c r="F10" s="132" t="s">
        <v>351</v>
      </c>
      <c r="G10" s="132" t="s">
        <v>352</v>
      </c>
    </row>
    <row r="11" spans="2:15" x14ac:dyDescent="0.25">
      <c r="B11" s="132" t="s">
        <v>360</v>
      </c>
      <c r="C11" s="133">
        <f ca="1">Calculations!DG9</f>
        <v>0.73089334322582644</v>
      </c>
      <c r="D11" s="133">
        <f ca="1">Calculations!DH9</f>
        <v>-1.8998671750974037</v>
      </c>
      <c r="E11" s="133">
        <f ca="1">Calculations!DI9</f>
        <v>7.201037135463463</v>
      </c>
      <c r="F11" s="133">
        <f ca="1">Calculations!DJ9</f>
        <v>3.3287192850906449</v>
      </c>
      <c r="G11" s="133">
        <f ca="1">Calculations!DK9</f>
        <v>-12.715976024264066</v>
      </c>
    </row>
    <row r="13" spans="2:15" x14ac:dyDescent="0.25">
      <c r="B13" s="198" t="s">
        <v>368</v>
      </c>
      <c r="C13" s="198"/>
      <c r="D13" s="198"/>
      <c r="E13" s="198"/>
      <c r="F13" s="198"/>
    </row>
    <row r="15" spans="2:15" x14ac:dyDescent="0.25">
      <c r="B15" s="132" t="s">
        <v>369</v>
      </c>
      <c r="C15" s="132">
        <v>0.02</v>
      </c>
    </row>
    <row r="17" spans="2:7" x14ac:dyDescent="0.25">
      <c r="B17" s="132"/>
      <c r="C17" s="132" t="s">
        <v>348</v>
      </c>
      <c r="D17" s="132" t="s">
        <v>349</v>
      </c>
      <c r="E17" s="132" t="s">
        <v>350</v>
      </c>
      <c r="F17" s="132" t="s">
        <v>351</v>
      </c>
      <c r="G17" s="132" t="s">
        <v>352</v>
      </c>
    </row>
    <row r="18" spans="2:7" x14ac:dyDescent="0.25">
      <c r="B18" s="132" t="s">
        <v>367</v>
      </c>
      <c r="C18" s="135">
        <v>1</v>
      </c>
      <c r="D18" s="135">
        <f>C18*(1+$C$15)</f>
        <v>1.02</v>
      </c>
      <c r="E18" s="135">
        <f>D18*(1+$C$15)</f>
        <v>1.0404</v>
      </c>
      <c r="F18" s="135">
        <f>E18*(1+$C$15)</f>
        <v>1.0612079999999999</v>
      </c>
      <c r="G18" s="135">
        <f>F18*(1+$C$15)</f>
        <v>1.08243216</v>
      </c>
    </row>
    <row r="19" spans="2:7" x14ac:dyDescent="0.25">
      <c r="B19" s="132" t="s">
        <v>361</v>
      </c>
      <c r="C19" s="133">
        <f t="shared" ref="C19:F19" ca="1" si="1">C18*C11</f>
        <v>0.73089334322582644</v>
      </c>
      <c r="D19" s="133">
        <f t="shared" ca="1" si="1"/>
        <v>-1.9378645185993517</v>
      </c>
      <c r="E19" s="133">
        <f t="shared" ca="1" si="1"/>
        <v>7.4919590357361869</v>
      </c>
      <c r="F19" s="133">
        <f t="shared" ca="1" si="1"/>
        <v>3.5324635350924729</v>
      </c>
      <c r="G19" s="133">
        <f ca="1">G18*G11</f>
        <v>-13.764181394452365</v>
      </c>
    </row>
  </sheetData>
  <mergeCells count="1">
    <mergeCell ref="B13:F13"/>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5" tint="0.59999389629810485"/>
  </sheetPr>
  <dimension ref="B1:U1006"/>
  <sheetViews>
    <sheetView zoomScale="80" zoomScaleNormal="80" workbookViewId="0">
      <selection activeCell="B1007" sqref="B1007"/>
    </sheetView>
  </sheetViews>
  <sheetFormatPr defaultColWidth="9.109375" defaultRowHeight="13.8" x14ac:dyDescent="0.25"/>
  <cols>
    <col min="1" max="1" width="9.109375" style="1"/>
    <col min="2" max="2" width="17.33203125" style="1" bestFit="1" customWidth="1"/>
    <col min="3" max="9" width="9.109375" style="1"/>
    <col min="10" max="10" width="12.109375" style="1" bestFit="1" customWidth="1"/>
    <col min="11" max="16384" width="9.109375" style="1"/>
  </cols>
  <sheetData>
    <row r="1" spans="2:21" ht="14.4" x14ac:dyDescent="0.3">
      <c r="B1" s="3" t="s">
        <v>330</v>
      </c>
      <c r="C1" s="11"/>
      <c r="J1" s="5"/>
      <c r="U1" s="14"/>
    </row>
    <row r="2" spans="2:21" ht="14.4" x14ac:dyDescent="0.3">
      <c r="B2" s="11"/>
      <c r="C2" s="11"/>
      <c r="J2" s="5"/>
      <c r="U2" s="14"/>
    </row>
    <row r="3" spans="2:21" ht="14.4" x14ac:dyDescent="0.3">
      <c r="B3" s="11"/>
      <c r="C3" s="11"/>
      <c r="J3" s="5"/>
      <c r="U3" s="14"/>
    </row>
    <row r="4" spans="2:21" s="14" customFormat="1" x14ac:dyDescent="0.25">
      <c r="B4" s="16" t="s">
        <v>362</v>
      </c>
      <c r="C4" s="16"/>
      <c r="J4" s="16" t="s">
        <v>299</v>
      </c>
    </row>
    <row r="5" spans="2:21" x14ac:dyDescent="0.25">
      <c r="K5" s="1" t="str">
        <f>C6</f>
        <v>Year+0</v>
      </c>
      <c r="L5" s="1" t="str">
        <f>D6</f>
        <v>Year+1</v>
      </c>
      <c r="M5" s="1" t="str">
        <f>E6</f>
        <v>Year+2</v>
      </c>
      <c r="N5" s="1" t="str">
        <f>F6</f>
        <v>Year+3</v>
      </c>
      <c r="O5" s="1" t="str">
        <f>G6</f>
        <v>Year+4</v>
      </c>
    </row>
    <row r="6" spans="2:21" x14ac:dyDescent="0.25">
      <c r="B6" s="1" t="s">
        <v>300</v>
      </c>
      <c r="C6" s="1" t="s">
        <v>348</v>
      </c>
      <c r="D6" s="1" t="s">
        <v>349</v>
      </c>
      <c r="E6" s="1" t="s">
        <v>350</v>
      </c>
      <c r="F6" s="1" t="s">
        <v>351</v>
      </c>
      <c r="G6" s="1" t="s">
        <v>352</v>
      </c>
      <c r="J6" s="1" t="s">
        <v>303</v>
      </c>
      <c r="K6" s="1">
        <f>AVERAGE(C:C)</f>
        <v>3.2041003596150284</v>
      </c>
      <c r="L6" s="1">
        <f>AVERAGE(D:D)</f>
        <v>3.9113535434080058</v>
      </c>
      <c r="M6" s="1">
        <f t="shared" ref="M6:O6" si="0">AVERAGE(E:E)</f>
        <v>4.4750491985494216</v>
      </c>
      <c r="N6" s="1">
        <f t="shared" si="0"/>
        <v>5.165442252683949</v>
      </c>
      <c r="O6" s="1">
        <f t="shared" si="0"/>
        <v>5.1555842098453208</v>
      </c>
    </row>
    <row r="7" spans="2:21" x14ac:dyDescent="0.25">
      <c r="B7" s="1">
        <v>1</v>
      </c>
      <c r="C7" s="1">
        <v>2.4374812643836981</v>
      </c>
      <c r="D7" s="1">
        <v>-8.910215770736464</v>
      </c>
      <c r="E7" s="1">
        <v>3.6418190134473525</v>
      </c>
      <c r="F7" s="1">
        <v>-3.0293191080583255</v>
      </c>
      <c r="G7" s="1">
        <v>10.178702962062857</v>
      </c>
      <c r="J7" s="1" t="s">
        <v>304</v>
      </c>
      <c r="K7" s="1">
        <f>_xlfn.STDEV.S(C:C)</f>
        <v>3.1162467488366752</v>
      </c>
      <c r="L7" s="1">
        <f>_xlfn.STDEV.S(D:D)</f>
        <v>5.0247053346152688</v>
      </c>
      <c r="M7" s="1">
        <f>_xlfn.STDEV.S(E:E)</f>
        <v>7.0888640453199692</v>
      </c>
      <c r="N7" s="1">
        <f>_xlfn.STDEV.S(F:F)</f>
        <v>9.0107288968401331</v>
      </c>
      <c r="O7" s="1">
        <f>_xlfn.STDEV.S(G:G)</f>
        <v>11.83878510265205</v>
      </c>
    </row>
    <row r="8" spans="2:21" x14ac:dyDescent="0.25">
      <c r="B8" s="1">
        <v>2</v>
      </c>
      <c r="C8" s="1">
        <v>0.24093402718177881</v>
      </c>
      <c r="D8" s="1">
        <v>2.5963408097423586</v>
      </c>
      <c r="E8" s="1">
        <v>3.4731206140547211</v>
      </c>
      <c r="F8" s="1">
        <v>17.154931064355303</v>
      </c>
      <c r="G8" s="1">
        <v>-5.2228620482694428</v>
      </c>
    </row>
    <row r="9" spans="2:21" x14ac:dyDescent="0.25">
      <c r="B9" s="1">
        <v>3</v>
      </c>
      <c r="C9" s="1">
        <v>6.7424964453778218</v>
      </c>
      <c r="D9" s="1">
        <v>0.99160367743435363</v>
      </c>
      <c r="E9" s="1">
        <v>-2.1051238683780045</v>
      </c>
      <c r="F9" s="1">
        <v>2.0104729572008746</v>
      </c>
      <c r="G9" s="1">
        <v>20.316770433704509</v>
      </c>
    </row>
    <row r="10" spans="2:21" x14ac:dyDescent="0.25">
      <c r="B10" s="1">
        <v>4</v>
      </c>
      <c r="C10" s="1">
        <v>8.2353042677549517</v>
      </c>
      <c r="D10" s="1">
        <v>11.672849320635391</v>
      </c>
      <c r="E10" s="1">
        <v>-3.0796695154813212</v>
      </c>
      <c r="F10" s="1">
        <v>-7.2473816765114778</v>
      </c>
      <c r="G10" s="1">
        <v>7.2647479453684838</v>
      </c>
    </row>
    <row r="11" spans="2:21" x14ac:dyDescent="0.25">
      <c r="B11" s="1">
        <v>5</v>
      </c>
      <c r="C11" s="1">
        <v>2.4556248697434468</v>
      </c>
      <c r="D11" s="1">
        <v>-3.4968322294138421</v>
      </c>
      <c r="E11" s="1">
        <v>14.761869764157625</v>
      </c>
      <c r="F11" s="1">
        <v>4.0146898493960252</v>
      </c>
      <c r="G11" s="1">
        <v>-6.0573230547357948</v>
      </c>
    </row>
    <row r="12" spans="2:21" x14ac:dyDescent="0.25">
      <c r="B12" s="1">
        <v>6</v>
      </c>
      <c r="C12" s="1">
        <v>3.5066549115344943</v>
      </c>
      <c r="D12" s="1">
        <v>5.9762242627301196</v>
      </c>
      <c r="E12" s="1">
        <v>12.241533224335255</v>
      </c>
      <c r="F12" s="1">
        <v>9.1247440876389589</v>
      </c>
      <c r="G12" s="1">
        <v>-7.4065848623694688</v>
      </c>
    </row>
    <row r="13" spans="2:21" x14ac:dyDescent="0.25">
      <c r="B13" s="1">
        <v>7</v>
      </c>
      <c r="C13" s="1">
        <v>2.7141034478404209</v>
      </c>
      <c r="D13" s="1">
        <v>-1.3593564313182451</v>
      </c>
      <c r="E13" s="1">
        <v>3.7398467284521</v>
      </c>
      <c r="F13" s="1">
        <v>-1.5530300716772687</v>
      </c>
      <c r="G13" s="1">
        <v>-6.8384847546809064</v>
      </c>
    </row>
    <row r="14" spans="2:21" x14ac:dyDescent="0.25">
      <c r="B14" s="1">
        <v>8</v>
      </c>
      <c r="C14" s="1">
        <v>0.287800673898158</v>
      </c>
      <c r="D14" s="1">
        <v>6.2530644022832567</v>
      </c>
      <c r="E14" s="1">
        <v>4.5352514329347979</v>
      </c>
      <c r="F14" s="1">
        <v>7.4259976450947907</v>
      </c>
      <c r="G14" s="1">
        <v>10.333592008708095</v>
      </c>
    </row>
    <row r="15" spans="2:21" x14ac:dyDescent="0.25">
      <c r="B15" s="1">
        <v>9</v>
      </c>
      <c r="C15" s="1">
        <v>2.2374545680509943</v>
      </c>
      <c r="D15" s="1">
        <v>-1.9023046156816525</v>
      </c>
      <c r="E15" s="1">
        <v>3.9817826192707195</v>
      </c>
      <c r="F15" s="1">
        <v>-1.8747508517257365</v>
      </c>
      <c r="G15" s="1">
        <v>-18.836273051903028</v>
      </c>
    </row>
    <row r="16" spans="2:21" x14ac:dyDescent="0.25">
      <c r="B16" s="1">
        <v>10</v>
      </c>
      <c r="C16" s="1">
        <v>1.9428774027534668</v>
      </c>
      <c r="D16" s="1">
        <v>3.5784684581470403</v>
      </c>
      <c r="E16" s="1">
        <v>0.40770486070157902</v>
      </c>
      <c r="F16" s="1">
        <v>-0.74189552641770429</v>
      </c>
      <c r="G16" s="1">
        <v>-29.349789469159347</v>
      </c>
    </row>
    <row r="17" spans="2:7" x14ac:dyDescent="0.25">
      <c r="B17" s="1">
        <v>11</v>
      </c>
      <c r="C17" s="1">
        <v>9.6817182369684502</v>
      </c>
      <c r="D17" s="1">
        <v>10.975891374420081</v>
      </c>
      <c r="E17" s="1">
        <v>10.391520631587406</v>
      </c>
      <c r="F17" s="1">
        <v>8.473907434792741</v>
      </c>
      <c r="G17" s="1">
        <v>15.707402293786307</v>
      </c>
    </row>
    <row r="18" spans="2:7" x14ac:dyDescent="0.25">
      <c r="B18" s="1">
        <v>12</v>
      </c>
      <c r="C18" s="1">
        <v>1.0061203378200008</v>
      </c>
      <c r="D18" s="1">
        <v>11.577430173685224</v>
      </c>
      <c r="E18" s="1">
        <v>12.146014288341554</v>
      </c>
      <c r="F18" s="1">
        <v>4.9193724709513624</v>
      </c>
      <c r="G18" s="1">
        <v>25.119824686698358</v>
      </c>
    </row>
    <row r="19" spans="2:7" x14ac:dyDescent="0.25">
      <c r="B19" s="1">
        <v>13</v>
      </c>
      <c r="C19" s="1">
        <v>6.5766279236863951</v>
      </c>
      <c r="D19" s="1">
        <v>4.6032200434780721</v>
      </c>
      <c r="E19" s="1">
        <v>11.851770249510109</v>
      </c>
      <c r="F19" s="1">
        <v>21.924106230040078</v>
      </c>
      <c r="G19" s="1">
        <v>31.405051854448303</v>
      </c>
    </row>
    <row r="20" spans="2:7" x14ac:dyDescent="0.25">
      <c r="B20" s="1">
        <v>14</v>
      </c>
      <c r="C20" s="1">
        <v>-0.74240744172823447</v>
      </c>
      <c r="D20" s="1">
        <v>4.6953213501732662</v>
      </c>
      <c r="E20" s="1">
        <v>2.0365169693277654</v>
      </c>
      <c r="F20" s="1">
        <v>-14.588669462479878</v>
      </c>
      <c r="G20" s="1">
        <v>-6.6550878658000636</v>
      </c>
    </row>
    <row r="21" spans="2:7" x14ac:dyDescent="0.25">
      <c r="B21" s="1">
        <v>15</v>
      </c>
      <c r="C21" s="1">
        <v>4.8984407990509489</v>
      </c>
      <c r="D21" s="1">
        <v>5.1008610254152336</v>
      </c>
      <c r="E21" s="1">
        <v>2.9381946871846676</v>
      </c>
      <c r="F21" s="1">
        <v>6.057588694478329</v>
      </c>
      <c r="G21" s="1">
        <v>30.362238234200838</v>
      </c>
    </row>
    <row r="22" spans="2:7" x14ac:dyDescent="0.25">
      <c r="B22" s="1">
        <v>16</v>
      </c>
      <c r="C22" s="1">
        <v>8.4572634966883129</v>
      </c>
      <c r="D22" s="1">
        <v>0.62584454148736657</v>
      </c>
      <c r="E22" s="1">
        <v>10.842423579982476</v>
      </c>
      <c r="F22" s="1">
        <v>-2.4787749528267979</v>
      </c>
      <c r="G22" s="1">
        <v>28.012736506967741</v>
      </c>
    </row>
    <row r="23" spans="2:7" x14ac:dyDescent="0.25">
      <c r="B23" s="1">
        <v>17</v>
      </c>
      <c r="C23" s="1">
        <v>-0.25794938960158831</v>
      </c>
      <c r="D23" s="1">
        <v>-3.4696893639245676</v>
      </c>
      <c r="E23" s="1">
        <v>0.24408505877378633</v>
      </c>
      <c r="F23" s="1">
        <v>7.679206000217988</v>
      </c>
      <c r="G23" s="1">
        <v>-5.4052401695385512</v>
      </c>
    </row>
    <row r="24" spans="2:7" x14ac:dyDescent="0.25">
      <c r="B24" s="1">
        <v>18</v>
      </c>
      <c r="C24" s="1">
        <v>0.47076540841528258</v>
      </c>
      <c r="D24" s="1">
        <v>4.7794952263303347</v>
      </c>
      <c r="E24" s="1">
        <v>-4.1688776355342334</v>
      </c>
      <c r="F24" s="1">
        <v>4.9977047136264314</v>
      </c>
      <c r="G24" s="1">
        <v>2.6508808478910115</v>
      </c>
    </row>
    <row r="25" spans="2:7" x14ac:dyDescent="0.25">
      <c r="B25" s="1">
        <v>19</v>
      </c>
      <c r="C25" s="1">
        <v>3.9425856589493042</v>
      </c>
      <c r="D25" s="1">
        <v>6.9921597055951459</v>
      </c>
      <c r="E25" s="1">
        <v>1.1210097095097062</v>
      </c>
      <c r="F25" s="1">
        <v>4.5571764598238635</v>
      </c>
      <c r="G25" s="1">
        <v>5.2503723248833847</v>
      </c>
    </row>
    <row r="26" spans="2:7" x14ac:dyDescent="0.25">
      <c r="B26" s="1">
        <v>20</v>
      </c>
      <c r="C26" s="1">
        <v>7.6662693844762178</v>
      </c>
      <c r="D26" s="1">
        <v>13.738407026705113</v>
      </c>
      <c r="E26" s="1">
        <v>15.15639646286531</v>
      </c>
      <c r="F26" s="1">
        <v>5.4380934338266682</v>
      </c>
      <c r="G26" s="1">
        <v>14.411248464601176</v>
      </c>
    </row>
    <row r="27" spans="2:7" x14ac:dyDescent="0.25">
      <c r="B27" s="1">
        <v>21</v>
      </c>
      <c r="C27" s="1">
        <v>-0.53594572027786969</v>
      </c>
      <c r="D27" s="1">
        <v>-5.0223069527000312</v>
      </c>
      <c r="E27" s="1">
        <v>-6.2713407725589487</v>
      </c>
      <c r="F27" s="1">
        <v>-3.1563686776494824</v>
      </c>
      <c r="G27" s="1">
        <v>6.6867518954820868</v>
      </c>
    </row>
    <row r="28" spans="2:7" x14ac:dyDescent="0.25">
      <c r="B28" s="1">
        <v>22</v>
      </c>
      <c r="C28" s="1">
        <v>1.7010889730931549</v>
      </c>
      <c r="D28" s="1">
        <v>1.2294900842224901</v>
      </c>
      <c r="E28" s="1">
        <v>4.8819025439767696</v>
      </c>
      <c r="F28" s="1">
        <v>-10.529904491576872</v>
      </c>
      <c r="G28" s="1">
        <v>-9.1172050319803564</v>
      </c>
    </row>
    <row r="29" spans="2:7" x14ac:dyDescent="0.25">
      <c r="B29" s="1">
        <v>23</v>
      </c>
      <c r="C29" s="1">
        <v>4.7986709026510956</v>
      </c>
      <c r="D29" s="1">
        <v>4.4017429309365959</v>
      </c>
      <c r="E29" s="1">
        <v>0.23751735071913208</v>
      </c>
      <c r="F29" s="1">
        <v>-8.357665325339303</v>
      </c>
      <c r="G29" s="1">
        <v>6.3055893758977497</v>
      </c>
    </row>
    <row r="30" spans="2:7" x14ac:dyDescent="0.25">
      <c r="B30" s="1">
        <v>24</v>
      </c>
      <c r="C30" s="1">
        <v>7.0696741816627116</v>
      </c>
      <c r="D30" s="1">
        <v>3.3829497947001577</v>
      </c>
      <c r="E30" s="1">
        <v>2.319890647130455</v>
      </c>
      <c r="F30" s="1">
        <v>-7.7442158204838751</v>
      </c>
      <c r="G30" s="1">
        <v>24.63838778652902</v>
      </c>
    </row>
    <row r="31" spans="2:7" x14ac:dyDescent="0.25">
      <c r="B31" s="1">
        <v>25</v>
      </c>
      <c r="C31" s="1">
        <v>3.6547832174800758</v>
      </c>
      <c r="D31" s="1">
        <v>6.8784036121662782</v>
      </c>
      <c r="E31" s="1">
        <v>9.2875819302804299</v>
      </c>
      <c r="F31" s="1">
        <v>21.097289001005247</v>
      </c>
      <c r="G31" s="1">
        <v>-6.731380492580131</v>
      </c>
    </row>
    <row r="32" spans="2:7" x14ac:dyDescent="0.25">
      <c r="B32" s="1">
        <v>26</v>
      </c>
      <c r="C32" s="1">
        <v>2.9541926223771204</v>
      </c>
      <c r="D32" s="1">
        <v>0.74259064834929633</v>
      </c>
      <c r="E32" s="1">
        <v>11.259561691224929</v>
      </c>
      <c r="F32" s="1">
        <v>9.4557261721070311</v>
      </c>
      <c r="G32" s="1">
        <v>8.0671544372999762</v>
      </c>
    </row>
    <row r="33" spans="2:7" x14ac:dyDescent="0.25">
      <c r="B33" s="1">
        <v>27</v>
      </c>
      <c r="C33" s="1">
        <v>3.01834566471915</v>
      </c>
      <c r="D33" s="1">
        <v>18.663189734028858</v>
      </c>
      <c r="E33" s="1">
        <v>10.265186680436281</v>
      </c>
      <c r="F33" s="1">
        <v>5.642652198665842</v>
      </c>
      <c r="G33" s="1">
        <v>10.602864445725997</v>
      </c>
    </row>
    <row r="34" spans="2:7" x14ac:dyDescent="0.25">
      <c r="B34" s="1">
        <v>28</v>
      </c>
      <c r="C34" s="1">
        <v>7.0537409199771304</v>
      </c>
      <c r="D34" s="1">
        <v>5.5092625835541984</v>
      </c>
      <c r="E34" s="1">
        <v>4.2439308389756452</v>
      </c>
      <c r="F34" s="1">
        <v>12.226188141956907</v>
      </c>
      <c r="G34" s="1">
        <v>-16.426658113290621</v>
      </c>
    </row>
    <row r="35" spans="2:7" x14ac:dyDescent="0.25">
      <c r="B35" s="1">
        <v>29</v>
      </c>
      <c r="C35" s="1">
        <v>3.0565405277983784</v>
      </c>
      <c r="D35" s="1">
        <v>4.6113844975754734</v>
      </c>
      <c r="E35" s="1">
        <v>2.3462830896529763</v>
      </c>
      <c r="F35" s="1">
        <v>-12.342652166800331</v>
      </c>
      <c r="G35" s="1">
        <v>9.8632010537089201</v>
      </c>
    </row>
    <row r="36" spans="2:7" x14ac:dyDescent="0.25">
      <c r="B36" s="1">
        <v>30</v>
      </c>
      <c r="C36" s="1">
        <v>1.8267835901535019</v>
      </c>
      <c r="D36" s="1">
        <v>14.832034483194285</v>
      </c>
      <c r="E36" s="1">
        <v>-2.6286640830168913</v>
      </c>
      <c r="F36" s="1">
        <v>1.0694526770628627</v>
      </c>
      <c r="G36" s="1">
        <v>-7.8759528339316907</v>
      </c>
    </row>
    <row r="37" spans="2:7" x14ac:dyDescent="0.25">
      <c r="B37" s="1">
        <v>31</v>
      </c>
      <c r="C37" s="1">
        <v>-3.2817569884977971E-2</v>
      </c>
      <c r="D37" s="1">
        <v>0.91761765701749842</v>
      </c>
      <c r="E37" s="1">
        <v>-0.40953915232544291</v>
      </c>
      <c r="F37" s="1">
        <v>4.8069715606439116</v>
      </c>
      <c r="G37" s="1">
        <v>-6.0286857098680038</v>
      </c>
    </row>
    <row r="38" spans="2:7" x14ac:dyDescent="0.25">
      <c r="B38" s="1">
        <v>32</v>
      </c>
      <c r="C38" s="1">
        <v>6.1247049117759893</v>
      </c>
      <c r="D38" s="1">
        <v>9.7402232541819824</v>
      </c>
      <c r="E38" s="1">
        <v>4.5573985893648619</v>
      </c>
      <c r="F38" s="1">
        <v>1.4503480708481347</v>
      </c>
      <c r="G38" s="1">
        <v>42.981654505260607</v>
      </c>
    </row>
    <row r="39" spans="2:7" x14ac:dyDescent="0.25">
      <c r="B39" s="1">
        <v>33</v>
      </c>
      <c r="C39" s="1">
        <v>5.103570281700696</v>
      </c>
      <c r="D39" s="1">
        <v>6.2967429354181839</v>
      </c>
      <c r="E39" s="1">
        <v>15.782466469792361</v>
      </c>
      <c r="F39" s="1">
        <v>-6.9587206280972573</v>
      </c>
      <c r="G39" s="1">
        <v>12.818652355206883</v>
      </c>
    </row>
    <row r="40" spans="2:7" x14ac:dyDescent="0.25">
      <c r="B40" s="1">
        <v>34</v>
      </c>
      <c r="C40" s="1">
        <v>3.0159910736704938</v>
      </c>
      <c r="D40" s="1">
        <v>10.469411588802387</v>
      </c>
      <c r="E40" s="1">
        <v>6.1854325969368311</v>
      </c>
      <c r="F40" s="1">
        <v>3.9672441782670402</v>
      </c>
      <c r="G40" s="1">
        <v>9.6282540901319997</v>
      </c>
    </row>
    <row r="41" spans="2:7" x14ac:dyDescent="0.25">
      <c r="B41" s="1">
        <v>35</v>
      </c>
      <c r="C41" s="1">
        <v>7.2760162456507178</v>
      </c>
      <c r="D41" s="1">
        <v>5.5217013168734779</v>
      </c>
      <c r="E41" s="1">
        <v>8.0692331573211504</v>
      </c>
      <c r="F41" s="1">
        <v>3.1898904254035325</v>
      </c>
      <c r="G41" s="1">
        <v>7.3004295229962786</v>
      </c>
    </row>
    <row r="42" spans="2:7" x14ac:dyDescent="0.25">
      <c r="B42" s="1">
        <v>36</v>
      </c>
      <c r="C42" s="1">
        <v>4.7718714828279065</v>
      </c>
      <c r="D42" s="1">
        <v>6.7466601714226773</v>
      </c>
      <c r="E42" s="1">
        <v>8.7961282284158422</v>
      </c>
      <c r="F42" s="1">
        <v>18.472354863712386</v>
      </c>
      <c r="G42" s="1">
        <v>2.4685754006179024</v>
      </c>
    </row>
    <row r="43" spans="2:7" x14ac:dyDescent="0.25">
      <c r="B43" s="1">
        <v>37</v>
      </c>
      <c r="C43" s="1">
        <v>9.9669887843621687</v>
      </c>
      <c r="D43" s="1">
        <v>2.7560691880967219</v>
      </c>
      <c r="E43" s="1">
        <v>9.262898586727621</v>
      </c>
      <c r="F43" s="1">
        <v>6.7944982396444908</v>
      </c>
      <c r="G43" s="1">
        <v>20.634141539201515</v>
      </c>
    </row>
    <row r="44" spans="2:7" x14ac:dyDescent="0.25">
      <c r="B44" s="1">
        <v>38</v>
      </c>
      <c r="C44" s="1">
        <v>5.9339658146282899</v>
      </c>
      <c r="D44" s="1">
        <v>10.00870406666419</v>
      </c>
      <c r="E44" s="1">
        <v>9.364585409358412</v>
      </c>
      <c r="F44" s="1">
        <v>4.1644489947040348</v>
      </c>
      <c r="G44" s="1">
        <v>13.451226209394081</v>
      </c>
    </row>
    <row r="45" spans="2:7" x14ac:dyDescent="0.25">
      <c r="B45" s="1">
        <v>39</v>
      </c>
      <c r="C45" s="1">
        <v>3.2593808660811581</v>
      </c>
      <c r="D45" s="1">
        <v>0.35228118469981684</v>
      </c>
      <c r="E45" s="1">
        <v>6.7330652122746235</v>
      </c>
      <c r="F45" s="1">
        <v>1.7141927880424486</v>
      </c>
      <c r="G45" s="1">
        <v>-5.2845180766051421</v>
      </c>
    </row>
    <row r="46" spans="2:7" x14ac:dyDescent="0.25">
      <c r="B46" s="1">
        <v>40</v>
      </c>
      <c r="C46" s="1">
        <v>2.9145573354742571</v>
      </c>
      <c r="D46" s="1">
        <v>1.223032604115639</v>
      </c>
      <c r="E46" s="1">
        <v>17.68635319314598</v>
      </c>
      <c r="F46" s="1">
        <v>12.512491438842241</v>
      </c>
      <c r="G46" s="1">
        <v>4.8257061564997628</v>
      </c>
    </row>
    <row r="47" spans="2:7" x14ac:dyDescent="0.25">
      <c r="B47" s="1">
        <v>41</v>
      </c>
      <c r="C47" s="1">
        <v>3.0673747056216563</v>
      </c>
      <c r="D47" s="1">
        <v>3.0442663097781839</v>
      </c>
      <c r="E47" s="1">
        <v>10.375943338131973</v>
      </c>
      <c r="F47" s="1">
        <v>5.8214253922119648</v>
      </c>
      <c r="G47" s="1">
        <v>1.697733404183287</v>
      </c>
    </row>
    <row r="48" spans="2:7" x14ac:dyDescent="0.25">
      <c r="B48" s="1">
        <v>42</v>
      </c>
      <c r="C48" s="1">
        <v>-1.7125378326659684</v>
      </c>
      <c r="D48" s="1">
        <v>2.9071138901957831</v>
      </c>
      <c r="E48" s="1">
        <v>5.1788076881234524</v>
      </c>
      <c r="F48" s="1">
        <v>16.440686089956717</v>
      </c>
      <c r="G48" s="1">
        <v>-1.0965224858877645</v>
      </c>
    </row>
    <row r="49" spans="2:7" x14ac:dyDescent="0.25">
      <c r="B49" s="1">
        <v>43</v>
      </c>
      <c r="C49" s="1">
        <v>1.9833124556278547</v>
      </c>
      <c r="D49" s="1">
        <v>2.3167775823485348</v>
      </c>
      <c r="E49" s="1">
        <v>1.4180145006726828</v>
      </c>
      <c r="F49" s="1">
        <v>15.416714661402688</v>
      </c>
      <c r="G49" s="1">
        <v>3.3722940696420811</v>
      </c>
    </row>
    <row r="50" spans="2:7" x14ac:dyDescent="0.25">
      <c r="B50" s="1">
        <v>44</v>
      </c>
      <c r="C50" s="1">
        <v>-3.0753001314720918</v>
      </c>
      <c r="D50" s="1">
        <v>-1.0699707418282389</v>
      </c>
      <c r="E50" s="1">
        <v>11.444200628602974</v>
      </c>
      <c r="F50" s="1">
        <v>16.156132650465359</v>
      </c>
      <c r="G50" s="1">
        <v>4.2657083070238633</v>
      </c>
    </row>
    <row r="51" spans="2:7" x14ac:dyDescent="0.25">
      <c r="B51" s="1">
        <v>45</v>
      </c>
      <c r="C51" s="1">
        <v>-3.609335932833746E-2</v>
      </c>
      <c r="D51" s="1">
        <v>3.1469376039392318</v>
      </c>
      <c r="E51" s="1">
        <v>7.2462613880368796</v>
      </c>
      <c r="F51" s="1">
        <v>8.8451636756768437</v>
      </c>
      <c r="G51" s="1">
        <v>-16.165863953078546</v>
      </c>
    </row>
    <row r="52" spans="2:7" x14ac:dyDescent="0.25">
      <c r="B52" s="1">
        <v>46</v>
      </c>
      <c r="C52" s="1">
        <v>1.716568233867604</v>
      </c>
      <c r="D52" s="1">
        <v>1.1057724140533896</v>
      </c>
      <c r="E52" s="1">
        <v>1.4643608386682627</v>
      </c>
      <c r="F52" s="1">
        <v>8.4384045548708304</v>
      </c>
      <c r="G52" s="1">
        <v>11.18411698570069</v>
      </c>
    </row>
    <row r="53" spans="2:7" x14ac:dyDescent="0.25">
      <c r="B53" s="1">
        <v>47</v>
      </c>
      <c r="C53" s="1">
        <v>3.4573302732278148</v>
      </c>
      <c r="D53" s="1">
        <v>3.9604174816244466</v>
      </c>
      <c r="E53" s="1">
        <v>4.0596494541660473</v>
      </c>
      <c r="F53" s="1">
        <v>3.6177838641940609</v>
      </c>
      <c r="G53" s="1">
        <v>-11.105493406384467</v>
      </c>
    </row>
    <row r="54" spans="2:7" x14ac:dyDescent="0.25">
      <c r="B54" s="1">
        <v>48</v>
      </c>
      <c r="C54" s="1">
        <v>3.0256370425089796</v>
      </c>
      <c r="D54" s="1">
        <v>3.3141119453860202</v>
      </c>
      <c r="E54" s="1">
        <v>-1.6535519834406978</v>
      </c>
      <c r="F54" s="1">
        <v>12.311721872115214</v>
      </c>
      <c r="G54" s="1">
        <v>30.277836724434099</v>
      </c>
    </row>
    <row r="55" spans="2:7" x14ac:dyDescent="0.25">
      <c r="B55" s="1">
        <v>49</v>
      </c>
      <c r="C55" s="1">
        <v>0.93140619039868255</v>
      </c>
      <c r="D55" s="1">
        <v>-1.773299235701277E-2</v>
      </c>
      <c r="E55" s="1">
        <v>3.6245568818460803</v>
      </c>
      <c r="F55" s="1">
        <v>6.7068351410469296</v>
      </c>
      <c r="G55" s="1">
        <v>7.0451967357287053</v>
      </c>
    </row>
    <row r="56" spans="2:7" x14ac:dyDescent="0.25">
      <c r="B56" s="1">
        <v>50</v>
      </c>
      <c r="C56" s="1">
        <v>0.90065476157899349</v>
      </c>
      <c r="D56" s="1">
        <v>-1.2656664736373504</v>
      </c>
      <c r="E56" s="1">
        <v>7.2904953976025615</v>
      </c>
      <c r="F56" s="1">
        <v>10.801366319338628</v>
      </c>
      <c r="G56" s="1">
        <v>-7.9594238732183493</v>
      </c>
    </row>
    <row r="57" spans="2:7" x14ac:dyDescent="0.25">
      <c r="B57" s="1">
        <v>51</v>
      </c>
      <c r="C57" s="1">
        <v>13.866604382895989</v>
      </c>
      <c r="D57" s="1">
        <v>13.767832602774064</v>
      </c>
      <c r="E57" s="1">
        <v>13.744731416523599</v>
      </c>
      <c r="F57" s="1">
        <v>-1.1923523452311331</v>
      </c>
      <c r="G57" s="1">
        <v>30.771640820351504</v>
      </c>
    </row>
    <row r="58" spans="2:7" x14ac:dyDescent="0.25">
      <c r="B58" s="1">
        <v>52</v>
      </c>
      <c r="C58" s="1">
        <v>-0.2670287552818249</v>
      </c>
      <c r="D58" s="1">
        <v>7.412004088224089</v>
      </c>
      <c r="E58" s="1">
        <v>-2.195993655933413</v>
      </c>
      <c r="F58" s="1">
        <v>28.834487761588104</v>
      </c>
      <c r="G58" s="1">
        <v>6.9530698493927927</v>
      </c>
    </row>
    <row r="59" spans="2:7" x14ac:dyDescent="0.25">
      <c r="B59" s="1">
        <v>53</v>
      </c>
      <c r="C59" s="1">
        <v>0.65614823437022851</v>
      </c>
      <c r="D59" s="1">
        <v>3.8213980757547832</v>
      </c>
      <c r="E59" s="1">
        <v>9.7745253766320026</v>
      </c>
      <c r="F59" s="1">
        <v>0.86691073737742708</v>
      </c>
      <c r="G59" s="1">
        <v>-1.1859139982441893</v>
      </c>
    </row>
    <row r="60" spans="2:7" x14ac:dyDescent="0.25">
      <c r="B60" s="1">
        <v>54</v>
      </c>
      <c r="C60" s="1">
        <v>3.3911451192746007</v>
      </c>
      <c r="D60" s="1">
        <v>5.6291718397456307</v>
      </c>
      <c r="E60" s="1">
        <v>12.36399021353202</v>
      </c>
      <c r="F60" s="1">
        <v>-1.9246108368887715</v>
      </c>
      <c r="G60" s="1">
        <v>-7.4619542760598243</v>
      </c>
    </row>
    <row r="61" spans="2:7" x14ac:dyDescent="0.25">
      <c r="B61" s="1">
        <v>55</v>
      </c>
      <c r="C61" s="1">
        <v>4.3709257478890819</v>
      </c>
      <c r="D61" s="1">
        <v>3.882852330631839</v>
      </c>
      <c r="E61" s="1">
        <v>9.5102495118810833</v>
      </c>
      <c r="F61" s="1">
        <v>9.2895029644878182</v>
      </c>
      <c r="G61" s="1">
        <v>5.3030227773094349</v>
      </c>
    </row>
    <row r="62" spans="2:7" x14ac:dyDescent="0.25">
      <c r="B62" s="1">
        <v>56</v>
      </c>
      <c r="C62" s="1">
        <v>1.2370247826709582</v>
      </c>
      <c r="D62" s="1">
        <v>3.5839559018426765</v>
      </c>
      <c r="E62" s="1">
        <v>4.5101039779511494</v>
      </c>
      <c r="F62" s="1">
        <v>9.9268520184902105</v>
      </c>
      <c r="G62" s="1">
        <v>-2.1706616737397897</v>
      </c>
    </row>
    <row r="63" spans="2:7" x14ac:dyDescent="0.25">
      <c r="B63" s="1">
        <v>57</v>
      </c>
      <c r="C63" s="1">
        <v>-4.3629246974145195</v>
      </c>
      <c r="D63" s="1">
        <v>-3.9324794438824355</v>
      </c>
      <c r="E63" s="1">
        <v>0.19235781828331738</v>
      </c>
      <c r="F63" s="1">
        <v>-8.4869126812041973</v>
      </c>
      <c r="G63" s="1">
        <v>4.1577818854113504</v>
      </c>
    </row>
    <row r="64" spans="2:7" x14ac:dyDescent="0.25">
      <c r="B64" s="1">
        <v>58</v>
      </c>
      <c r="C64" s="1">
        <v>5.5516683365042052</v>
      </c>
      <c r="D64" s="1">
        <v>4.7017754130207754</v>
      </c>
      <c r="E64" s="1">
        <v>-0.46816038566734836</v>
      </c>
      <c r="F64" s="1">
        <v>0.72037300625000733</v>
      </c>
      <c r="G64" s="1">
        <v>-7.468376327754612</v>
      </c>
    </row>
    <row r="65" spans="2:7" x14ac:dyDescent="0.25">
      <c r="B65" s="1">
        <v>59</v>
      </c>
      <c r="C65" s="1">
        <v>-4.9352370016728209E-2</v>
      </c>
      <c r="D65" s="1">
        <v>7.1566833737060458</v>
      </c>
      <c r="E65" s="1">
        <v>-4.3229721708169713</v>
      </c>
      <c r="F65" s="1">
        <v>2.5695552673078321</v>
      </c>
      <c r="G65" s="1">
        <v>17.216240921749712</v>
      </c>
    </row>
    <row r="66" spans="2:7" x14ac:dyDescent="0.25">
      <c r="B66" s="1">
        <v>60</v>
      </c>
      <c r="C66" s="1">
        <v>-2.5220396600462518</v>
      </c>
      <c r="D66" s="1">
        <v>0.97984270809735874</v>
      </c>
      <c r="E66" s="1">
        <v>6.7907748916711084</v>
      </c>
      <c r="F66" s="1">
        <v>10.59271310957619</v>
      </c>
      <c r="G66" s="1">
        <v>2.5244703425878123</v>
      </c>
    </row>
    <row r="67" spans="2:7" x14ac:dyDescent="0.25">
      <c r="B67" s="1">
        <v>61</v>
      </c>
      <c r="C67" s="1">
        <v>6.6635652148781919</v>
      </c>
      <c r="D67" s="1">
        <v>2.1774788404841257</v>
      </c>
      <c r="E67" s="1">
        <v>-0.96502442007630096</v>
      </c>
      <c r="F67" s="1">
        <v>-16.330963838339112</v>
      </c>
      <c r="G67" s="1">
        <v>30.474660658280847</v>
      </c>
    </row>
    <row r="68" spans="2:7" x14ac:dyDescent="0.25">
      <c r="B68" s="1">
        <v>62</v>
      </c>
      <c r="C68" s="1">
        <v>7.11318676963249</v>
      </c>
      <c r="D68" s="1">
        <v>12.548928099071045</v>
      </c>
      <c r="E68" s="1">
        <v>18.843866389701844</v>
      </c>
      <c r="F68" s="1">
        <v>20.971744996754339</v>
      </c>
      <c r="G68" s="1">
        <v>11.691264450066907</v>
      </c>
    </row>
    <row r="69" spans="2:7" x14ac:dyDescent="0.25">
      <c r="B69" s="1">
        <v>63</v>
      </c>
      <c r="C69" s="1">
        <v>0.73678116671539673</v>
      </c>
      <c r="D69" s="1">
        <v>-5.6875381203952902</v>
      </c>
      <c r="E69" s="1">
        <v>9.2307163180520977</v>
      </c>
      <c r="F69" s="1">
        <v>9.6599490806509856</v>
      </c>
      <c r="G69" s="1">
        <v>-5.9154530061097006</v>
      </c>
    </row>
    <row r="70" spans="2:7" x14ac:dyDescent="0.25">
      <c r="B70" s="1">
        <v>64</v>
      </c>
      <c r="C70" s="1">
        <v>2.9871674659919809</v>
      </c>
      <c r="D70" s="1">
        <v>11.699969984133064</v>
      </c>
      <c r="E70" s="1">
        <v>-2.2401047995541834</v>
      </c>
      <c r="F70" s="1">
        <v>9.4265131851803758</v>
      </c>
      <c r="G70" s="1">
        <v>8.3026766861423713</v>
      </c>
    </row>
    <row r="71" spans="2:7" x14ac:dyDescent="0.25">
      <c r="B71" s="1">
        <v>65</v>
      </c>
      <c r="C71" s="1">
        <v>1.8647003821800361</v>
      </c>
      <c r="D71" s="1">
        <v>0.10244183563045779</v>
      </c>
      <c r="E71" s="1">
        <v>2.0292380222878742E-2</v>
      </c>
      <c r="F71" s="1">
        <v>2.5158260086125614</v>
      </c>
      <c r="G71" s="1">
        <v>19.756384735624483</v>
      </c>
    </row>
    <row r="72" spans="2:7" x14ac:dyDescent="0.25">
      <c r="B72" s="1">
        <v>66</v>
      </c>
      <c r="C72" s="1">
        <v>-1.1189833474579327</v>
      </c>
      <c r="D72" s="1">
        <v>4.2614429494328068</v>
      </c>
      <c r="E72" s="1">
        <v>3.8865351092664775</v>
      </c>
      <c r="F72" s="1">
        <v>12.092102589827821</v>
      </c>
      <c r="G72" s="1">
        <v>-13.225409095764963</v>
      </c>
    </row>
    <row r="73" spans="2:7" x14ac:dyDescent="0.25">
      <c r="B73" s="1">
        <v>67</v>
      </c>
      <c r="C73" s="1">
        <v>7.6937792915013281</v>
      </c>
      <c r="D73" s="1">
        <v>12.369670006921472</v>
      </c>
      <c r="E73" s="1">
        <v>8.0257408665555232</v>
      </c>
      <c r="F73" s="1">
        <v>12.825609282294202</v>
      </c>
      <c r="G73" s="1">
        <v>8.2662828934815256</v>
      </c>
    </row>
    <row r="74" spans="2:7" x14ac:dyDescent="0.25">
      <c r="B74" s="1">
        <v>68</v>
      </c>
      <c r="C74" s="1">
        <v>-0.42171568941500093</v>
      </c>
      <c r="D74" s="1">
        <v>15.011039672537002</v>
      </c>
      <c r="E74" s="1">
        <v>4.7578054600052706</v>
      </c>
      <c r="F74" s="1">
        <v>10.713605551636949</v>
      </c>
      <c r="G74" s="1">
        <v>6.6079879560886372</v>
      </c>
    </row>
    <row r="75" spans="2:7" x14ac:dyDescent="0.25">
      <c r="B75" s="1">
        <v>69</v>
      </c>
      <c r="C75" s="1">
        <v>-0.51100343929799408</v>
      </c>
      <c r="D75" s="1">
        <v>-0.89805098582132059</v>
      </c>
      <c r="E75" s="1">
        <v>7.0556063246890917</v>
      </c>
      <c r="F75" s="1">
        <v>-7.6889237231174175</v>
      </c>
      <c r="G75" s="1">
        <v>4.5684929256669431</v>
      </c>
    </row>
    <row r="76" spans="2:7" x14ac:dyDescent="0.25">
      <c r="B76" s="1">
        <v>70</v>
      </c>
      <c r="C76" s="1">
        <v>3.9267783457562597</v>
      </c>
      <c r="D76" s="1">
        <v>9.1856300208377419</v>
      </c>
      <c r="E76" s="1">
        <v>0.69324885398131819</v>
      </c>
      <c r="F76" s="1">
        <v>3.501235143110589</v>
      </c>
      <c r="G76" s="1">
        <v>-0.28603612836330977</v>
      </c>
    </row>
    <row r="77" spans="2:7" x14ac:dyDescent="0.25">
      <c r="B77" s="1">
        <v>71</v>
      </c>
      <c r="C77" s="1">
        <v>1.014416264854253</v>
      </c>
      <c r="D77" s="1">
        <v>4.4325214620593103</v>
      </c>
      <c r="E77" s="1">
        <v>-0.3133635077459474</v>
      </c>
      <c r="F77" s="1">
        <v>13.093959267829382</v>
      </c>
      <c r="G77" s="1">
        <v>8.3734923883233456</v>
      </c>
    </row>
    <row r="78" spans="2:7" x14ac:dyDescent="0.25">
      <c r="B78" s="1">
        <v>72</v>
      </c>
      <c r="C78" s="1">
        <v>5.256382677782816</v>
      </c>
      <c r="D78" s="1">
        <v>5.8496895891900884</v>
      </c>
      <c r="E78" s="1">
        <v>11.863935369005976</v>
      </c>
      <c r="F78" s="1">
        <v>7.60544940869333</v>
      </c>
      <c r="G78" s="1">
        <v>19.891656124407291</v>
      </c>
    </row>
    <row r="79" spans="2:7" x14ac:dyDescent="0.25">
      <c r="B79" s="1">
        <v>73</v>
      </c>
      <c r="C79" s="1">
        <v>0.89074498833369464</v>
      </c>
      <c r="D79" s="1">
        <v>9.3229828310770273</v>
      </c>
      <c r="E79" s="1">
        <v>-4.5113874778961129</v>
      </c>
      <c r="F79" s="1">
        <v>1.7032333164297542</v>
      </c>
      <c r="G79" s="1">
        <v>15.353543606651813</v>
      </c>
    </row>
    <row r="80" spans="2:7" x14ac:dyDescent="0.25">
      <c r="B80" s="1">
        <v>74</v>
      </c>
      <c r="C80" s="1">
        <v>1.5947299827689161</v>
      </c>
      <c r="D80" s="1">
        <v>5.7152214548906324</v>
      </c>
      <c r="E80" s="1">
        <v>2.9776364476767578</v>
      </c>
      <c r="F80" s="1">
        <v>20.4563446610738</v>
      </c>
      <c r="G80" s="1">
        <v>-1.2304527962033829</v>
      </c>
    </row>
    <row r="81" spans="2:7" x14ac:dyDescent="0.25">
      <c r="B81" s="1">
        <v>75</v>
      </c>
      <c r="C81" s="1">
        <v>6.9801404949011587</v>
      </c>
      <c r="D81" s="1">
        <v>0.802467407061212</v>
      </c>
      <c r="E81" s="1">
        <v>-0.2047037335876451</v>
      </c>
      <c r="F81" s="1">
        <v>13.492542806581215</v>
      </c>
      <c r="G81" s="1">
        <v>9.7447978123139354</v>
      </c>
    </row>
    <row r="82" spans="2:7" x14ac:dyDescent="0.25">
      <c r="B82" s="1">
        <v>76</v>
      </c>
      <c r="C82" s="1">
        <v>9.9886316054519639</v>
      </c>
      <c r="D82" s="1">
        <v>9.0316994887647635</v>
      </c>
      <c r="E82" s="1">
        <v>22.312085507869348</v>
      </c>
      <c r="F82" s="1">
        <v>10.070496982118376</v>
      </c>
      <c r="G82" s="1">
        <v>7.9495027481428187</v>
      </c>
    </row>
    <row r="83" spans="2:7" x14ac:dyDescent="0.25">
      <c r="B83" s="1">
        <v>77</v>
      </c>
      <c r="C83" s="1">
        <v>9.8407042794548936</v>
      </c>
      <c r="D83" s="1">
        <v>16.151153203435051</v>
      </c>
      <c r="E83" s="1">
        <v>13.473750106486262</v>
      </c>
      <c r="F83" s="1">
        <v>2.2184477299701739</v>
      </c>
      <c r="G83" s="1">
        <v>12.003102258173227</v>
      </c>
    </row>
    <row r="84" spans="2:7" x14ac:dyDescent="0.25">
      <c r="B84" s="1">
        <v>78</v>
      </c>
      <c r="C84" s="1">
        <v>3.3525007713026715</v>
      </c>
      <c r="D84" s="1">
        <v>0.72956986112098887</v>
      </c>
      <c r="E84" s="1">
        <v>8.932063183454467</v>
      </c>
      <c r="F84" s="1">
        <v>14.855591368078866</v>
      </c>
      <c r="G84" s="1">
        <v>2.2213949350476208</v>
      </c>
    </row>
    <row r="85" spans="2:7" x14ac:dyDescent="0.25">
      <c r="B85" s="1">
        <v>79</v>
      </c>
      <c r="C85" s="1">
        <v>1.9833818382071289</v>
      </c>
      <c r="D85" s="1">
        <v>5.257803406893597</v>
      </c>
      <c r="E85" s="1">
        <v>17.193507253503473</v>
      </c>
      <c r="F85" s="1">
        <v>9.2759960312251533</v>
      </c>
      <c r="G85" s="1">
        <v>11.57973126998378</v>
      </c>
    </row>
    <row r="86" spans="2:7" x14ac:dyDescent="0.25">
      <c r="B86" s="1">
        <v>80</v>
      </c>
      <c r="C86" s="1">
        <v>3.5432150804641145</v>
      </c>
      <c r="D86" s="1">
        <v>5.3303184717265708</v>
      </c>
      <c r="E86" s="1">
        <v>7.7369778039062274</v>
      </c>
      <c r="F86" s="1">
        <v>9.2494108181026693</v>
      </c>
      <c r="G86" s="1">
        <v>15.005032793903316</v>
      </c>
    </row>
    <row r="87" spans="2:7" x14ac:dyDescent="0.25">
      <c r="B87" s="1">
        <v>81</v>
      </c>
      <c r="C87" s="1">
        <v>4.7745082614731258</v>
      </c>
      <c r="D87" s="1">
        <v>8.0851272542990476</v>
      </c>
      <c r="E87" s="1">
        <v>8.9991470244515295</v>
      </c>
      <c r="F87" s="1">
        <v>12.765910672337272</v>
      </c>
      <c r="G87" s="1">
        <v>18.11109838383215</v>
      </c>
    </row>
    <row r="88" spans="2:7" x14ac:dyDescent="0.25">
      <c r="B88" s="1">
        <v>82</v>
      </c>
      <c r="C88" s="1">
        <v>4.1577223699847723</v>
      </c>
      <c r="D88" s="1">
        <v>-2.0377289117188542</v>
      </c>
      <c r="E88" s="1">
        <v>18.541032210300699</v>
      </c>
      <c r="F88" s="1">
        <v>-0.21568378675395916</v>
      </c>
      <c r="G88" s="1">
        <v>23.794765474568248</v>
      </c>
    </row>
    <row r="89" spans="2:7" x14ac:dyDescent="0.25">
      <c r="B89" s="1">
        <v>83</v>
      </c>
      <c r="C89" s="1">
        <v>5.3581288693936049</v>
      </c>
      <c r="D89" s="1">
        <v>3.6249244909769049</v>
      </c>
      <c r="E89" s="1">
        <v>1.6347138881262266</v>
      </c>
      <c r="F89" s="1">
        <v>6.9370145920261237</v>
      </c>
      <c r="G89" s="1">
        <v>19.699739136500501</v>
      </c>
    </row>
    <row r="90" spans="2:7" x14ac:dyDescent="0.25">
      <c r="B90" s="1">
        <v>84</v>
      </c>
      <c r="C90" s="1">
        <v>5.4165680219615275</v>
      </c>
      <c r="D90" s="1">
        <v>3.3418816502625419</v>
      </c>
      <c r="E90" s="1">
        <v>10.051432515643821</v>
      </c>
      <c r="F90" s="1">
        <v>20.672265753463119</v>
      </c>
      <c r="G90" s="1">
        <v>4.4467867417598965</v>
      </c>
    </row>
    <row r="91" spans="2:7" x14ac:dyDescent="0.25">
      <c r="B91" s="1">
        <v>85</v>
      </c>
      <c r="C91" s="1">
        <v>8.1362710744259026</v>
      </c>
      <c r="D91" s="1">
        <v>3.4109415100845806</v>
      </c>
      <c r="E91" s="1">
        <v>5.3704998605988923</v>
      </c>
      <c r="F91" s="1">
        <v>3.5570374141037897</v>
      </c>
      <c r="G91" s="1">
        <v>-10.228376426725152</v>
      </c>
    </row>
    <row r="92" spans="2:7" x14ac:dyDescent="0.25">
      <c r="B92" s="1">
        <v>86</v>
      </c>
      <c r="C92" s="1">
        <v>2.7187506082118298</v>
      </c>
      <c r="D92" s="1">
        <v>1.5344089029354901</v>
      </c>
      <c r="E92" s="1">
        <v>15.046958599851541</v>
      </c>
      <c r="F92" s="1">
        <v>11.062704559322903</v>
      </c>
      <c r="G92" s="1">
        <v>0.87274606473506677</v>
      </c>
    </row>
    <row r="93" spans="2:7" x14ac:dyDescent="0.25">
      <c r="B93" s="1">
        <v>87</v>
      </c>
      <c r="C93" s="1">
        <v>3.1777514890144953</v>
      </c>
      <c r="D93" s="1">
        <v>1.9391130645342134</v>
      </c>
      <c r="E93" s="1">
        <v>8.867441616165479</v>
      </c>
      <c r="F93" s="1">
        <v>13.07553573544409</v>
      </c>
      <c r="G93" s="1">
        <v>3.8670414795519026</v>
      </c>
    </row>
    <row r="94" spans="2:7" x14ac:dyDescent="0.25">
      <c r="B94" s="1">
        <v>88</v>
      </c>
      <c r="C94" s="1">
        <v>1.2122268304784178</v>
      </c>
      <c r="D94" s="1">
        <v>0.58607914709139952</v>
      </c>
      <c r="E94" s="1">
        <v>9.9730268384951</v>
      </c>
      <c r="F94" s="1">
        <v>6.792707478528011</v>
      </c>
      <c r="G94" s="1">
        <v>18.474493749313261</v>
      </c>
    </row>
    <row r="95" spans="2:7" x14ac:dyDescent="0.25">
      <c r="B95" s="1">
        <v>89</v>
      </c>
      <c r="C95" s="1">
        <v>1.5015978003325166</v>
      </c>
      <c r="D95" s="1">
        <v>-9.0825423142597899</v>
      </c>
      <c r="E95" s="1">
        <v>-2.5278378234016863</v>
      </c>
      <c r="F95" s="1">
        <v>-2.0909326409986808</v>
      </c>
      <c r="G95" s="1">
        <v>-4.712186755195571</v>
      </c>
    </row>
    <row r="96" spans="2:7" x14ac:dyDescent="0.25">
      <c r="B96" s="1">
        <v>90</v>
      </c>
      <c r="C96" s="1">
        <v>6.1921740117976185</v>
      </c>
      <c r="D96" s="1">
        <v>5.3286200362124623</v>
      </c>
      <c r="E96" s="1">
        <v>10.211824250462417</v>
      </c>
      <c r="F96" s="1">
        <v>13.855216791362924</v>
      </c>
      <c r="G96" s="1">
        <v>-4.208362631173955</v>
      </c>
    </row>
    <row r="97" spans="2:7" x14ac:dyDescent="0.25">
      <c r="B97" s="1">
        <v>91</v>
      </c>
      <c r="C97" s="1">
        <v>4.3192333645475269</v>
      </c>
      <c r="D97" s="1">
        <v>3.7414493325258174</v>
      </c>
      <c r="E97" s="1">
        <v>11.209944413361981</v>
      </c>
      <c r="F97" s="1">
        <v>8.7910663988940829</v>
      </c>
      <c r="G97" s="1">
        <v>18.917179266133139</v>
      </c>
    </row>
    <row r="98" spans="2:7" x14ac:dyDescent="0.25">
      <c r="B98" s="1">
        <v>92</v>
      </c>
      <c r="C98" s="1">
        <v>-1.9001062288779038</v>
      </c>
      <c r="D98" s="1">
        <v>-7.6046763652933649</v>
      </c>
      <c r="E98" s="1">
        <v>3.6352606023004821</v>
      </c>
      <c r="F98" s="1">
        <v>0.32735467136854401</v>
      </c>
      <c r="G98" s="1">
        <v>14.276228790014986</v>
      </c>
    </row>
    <row r="99" spans="2:7" x14ac:dyDescent="0.25">
      <c r="B99" s="1">
        <v>93</v>
      </c>
      <c r="C99" s="1">
        <v>1.1284853363777803</v>
      </c>
      <c r="D99" s="1">
        <v>-0.36730834325250267</v>
      </c>
      <c r="E99" s="1">
        <v>-2.071820207974965</v>
      </c>
      <c r="F99" s="1">
        <v>19.308000314353162</v>
      </c>
      <c r="G99" s="1">
        <v>-1.4982484995123142</v>
      </c>
    </row>
    <row r="100" spans="2:7" x14ac:dyDescent="0.25">
      <c r="B100" s="1">
        <v>94</v>
      </c>
      <c r="C100" s="1">
        <v>5.6684618396267901</v>
      </c>
      <c r="D100" s="1">
        <v>6.4751824276498118</v>
      </c>
      <c r="E100" s="1">
        <v>1.2245788005130418</v>
      </c>
      <c r="F100" s="1">
        <v>-5.9967387763230215</v>
      </c>
      <c r="G100" s="1">
        <v>14.90450037224482</v>
      </c>
    </row>
    <row r="101" spans="2:7" x14ac:dyDescent="0.25">
      <c r="B101" s="1">
        <v>95</v>
      </c>
      <c r="C101" s="1">
        <v>1.2904885752683057</v>
      </c>
      <c r="D101" s="1">
        <v>-4.5218682041485989</v>
      </c>
      <c r="E101" s="1">
        <v>16.820260292276274</v>
      </c>
      <c r="F101" s="1">
        <v>3.8377915092800161</v>
      </c>
      <c r="G101" s="1">
        <v>1.4156381265656435</v>
      </c>
    </row>
    <row r="102" spans="2:7" x14ac:dyDescent="0.25">
      <c r="B102" s="1">
        <v>96</v>
      </c>
      <c r="C102" s="1">
        <v>7.525402326561494</v>
      </c>
      <c r="D102" s="1">
        <v>4.7981819711009495</v>
      </c>
      <c r="E102" s="1">
        <v>11.009563945223382</v>
      </c>
      <c r="F102" s="1">
        <v>18.164895349881036</v>
      </c>
      <c r="G102" s="1">
        <v>2.0246822985834814</v>
      </c>
    </row>
    <row r="103" spans="2:7" x14ac:dyDescent="0.25">
      <c r="B103" s="1">
        <v>97</v>
      </c>
      <c r="C103" s="1">
        <v>5.1900573635695757</v>
      </c>
      <c r="D103" s="1">
        <v>-7.4463162273932717</v>
      </c>
      <c r="E103" s="1">
        <v>-2.6046309027417145</v>
      </c>
      <c r="F103" s="1">
        <v>16.220531633153922</v>
      </c>
      <c r="G103" s="1">
        <v>6.7756473872134242</v>
      </c>
    </row>
    <row r="104" spans="2:7" x14ac:dyDescent="0.25">
      <c r="B104" s="1">
        <v>98</v>
      </c>
      <c r="C104" s="1">
        <v>10.738954189195058</v>
      </c>
      <c r="D104" s="1">
        <v>4.7107173784932712</v>
      </c>
      <c r="E104" s="1">
        <v>7.4083150451022863</v>
      </c>
      <c r="F104" s="1">
        <v>1.4889488363464445</v>
      </c>
      <c r="G104" s="1">
        <v>-2.8127742442120773</v>
      </c>
    </row>
    <row r="105" spans="2:7" x14ac:dyDescent="0.25">
      <c r="B105" s="1">
        <v>99</v>
      </c>
      <c r="C105" s="1">
        <v>9.5185813055394366</v>
      </c>
      <c r="D105" s="1">
        <v>15.598154209577416</v>
      </c>
      <c r="E105" s="1">
        <v>-3.2639393677054525</v>
      </c>
      <c r="F105" s="1">
        <v>-2.867321330386257</v>
      </c>
      <c r="G105" s="1">
        <v>24.301227264950818</v>
      </c>
    </row>
    <row r="106" spans="2:7" x14ac:dyDescent="0.25">
      <c r="B106" s="1">
        <v>100</v>
      </c>
      <c r="C106" s="1">
        <v>-2.0027210790897207</v>
      </c>
      <c r="D106" s="1">
        <v>-0.31047047355284701</v>
      </c>
      <c r="E106" s="1">
        <v>4.0033895389175695</v>
      </c>
      <c r="F106" s="1">
        <v>-6.1155168842801251</v>
      </c>
      <c r="G106" s="1">
        <v>8.1484288831087532</v>
      </c>
    </row>
    <row r="107" spans="2:7" x14ac:dyDescent="0.25">
      <c r="B107" s="1">
        <v>101</v>
      </c>
      <c r="C107" s="1">
        <v>-0.3769892319484156</v>
      </c>
      <c r="D107" s="1">
        <v>9.2190291947907745</v>
      </c>
      <c r="E107" s="1">
        <v>-4.0853799925119576</v>
      </c>
      <c r="F107" s="1">
        <v>12.519828045241763</v>
      </c>
      <c r="G107" s="1">
        <v>1.4608463330385097</v>
      </c>
    </row>
    <row r="108" spans="2:7" x14ac:dyDescent="0.25">
      <c r="B108" s="1">
        <v>102</v>
      </c>
      <c r="C108" s="1">
        <v>6.192071156526092</v>
      </c>
      <c r="D108" s="1">
        <v>11.620448625599419</v>
      </c>
      <c r="E108" s="1">
        <v>7.3694964117094655</v>
      </c>
      <c r="F108" s="1">
        <v>0.66435616788655394</v>
      </c>
      <c r="G108" s="1">
        <v>-9.6650080479824609</v>
      </c>
    </row>
    <row r="109" spans="2:7" x14ac:dyDescent="0.25">
      <c r="B109" s="1">
        <v>103</v>
      </c>
      <c r="C109" s="1">
        <v>4.1673385030734904</v>
      </c>
      <c r="D109" s="1">
        <v>7.9741120673370718</v>
      </c>
      <c r="E109" s="1">
        <v>10.428618981358408</v>
      </c>
      <c r="F109" s="1">
        <v>21.584110875787601</v>
      </c>
      <c r="G109" s="1">
        <v>19.6399517226568</v>
      </c>
    </row>
    <row r="110" spans="2:7" x14ac:dyDescent="0.25">
      <c r="B110" s="1">
        <v>104</v>
      </c>
      <c r="C110" s="1">
        <v>6.743458779097586</v>
      </c>
      <c r="D110" s="1">
        <v>9.3991516589150095</v>
      </c>
      <c r="E110" s="1">
        <v>-0.43360186003934653</v>
      </c>
      <c r="F110" s="1">
        <v>11.488874127660377</v>
      </c>
      <c r="G110" s="1">
        <v>-11.445783808410813</v>
      </c>
    </row>
    <row r="111" spans="2:7" x14ac:dyDescent="0.25">
      <c r="B111" s="1">
        <v>105</v>
      </c>
      <c r="C111" s="1">
        <v>-3.5610366912521396</v>
      </c>
      <c r="D111" s="1">
        <v>-0.31042504286882505</v>
      </c>
      <c r="E111" s="1">
        <v>-4.9646796430701299</v>
      </c>
      <c r="F111" s="1">
        <v>6.6969915573426047</v>
      </c>
      <c r="G111" s="1">
        <v>2.1182026005045311</v>
      </c>
    </row>
    <row r="112" spans="2:7" x14ac:dyDescent="0.25">
      <c r="B112" s="1">
        <v>106</v>
      </c>
      <c r="C112" s="1">
        <v>-2.1215767925574056</v>
      </c>
      <c r="D112" s="1">
        <v>2.6191799694306339</v>
      </c>
      <c r="E112" s="1">
        <v>10.975439264867232</v>
      </c>
      <c r="F112" s="1">
        <v>5.8549137302437515</v>
      </c>
      <c r="G112" s="1">
        <v>-1.127642138456673</v>
      </c>
    </row>
    <row r="113" spans="2:7" x14ac:dyDescent="0.25">
      <c r="B113" s="1">
        <v>107</v>
      </c>
      <c r="C113" s="1">
        <v>6.642674421916702</v>
      </c>
      <c r="D113" s="1">
        <v>0.62726909386849039</v>
      </c>
      <c r="E113" s="1">
        <v>3.9399376327910032</v>
      </c>
      <c r="F113" s="1">
        <v>1.8846107591824452</v>
      </c>
      <c r="G113" s="1">
        <v>4.9669687161121239</v>
      </c>
    </row>
    <row r="114" spans="2:7" x14ac:dyDescent="0.25">
      <c r="B114" s="1">
        <v>108</v>
      </c>
      <c r="C114" s="1">
        <v>0.75479830573230799</v>
      </c>
      <c r="D114" s="1">
        <v>-3.332572922967505</v>
      </c>
      <c r="E114" s="1">
        <v>6.5174470860736866</v>
      </c>
      <c r="F114" s="1">
        <v>-5.7521446378642267</v>
      </c>
      <c r="G114" s="1">
        <v>-2.901213832205721</v>
      </c>
    </row>
    <row r="115" spans="2:7" x14ac:dyDescent="0.25">
      <c r="B115" s="1">
        <v>109</v>
      </c>
      <c r="C115" s="1">
        <v>4.5997742725391824</v>
      </c>
      <c r="D115" s="1">
        <v>11.229050431137185</v>
      </c>
      <c r="E115" s="1">
        <v>7.2980749236008977</v>
      </c>
      <c r="F115" s="1">
        <v>10.640124225264953</v>
      </c>
      <c r="G115" s="1">
        <v>-5.4460608992001251</v>
      </c>
    </row>
    <row r="116" spans="2:7" x14ac:dyDescent="0.25">
      <c r="B116" s="1">
        <v>110</v>
      </c>
      <c r="C116" s="1">
        <v>4.5751456094148075</v>
      </c>
      <c r="D116" s="1">
        <v>13.172819434068982</v>
      </c>
      <c r="E116" s="1">
        <v>-0.41958398430242128</v>
      </c>
      <c r="F116" s="1">
        <v>4.5954676884367629</v>
      </c>
      <c r="G116" s="1">
        <v>8.578417337496095</v>
      </c>
    </row>
    <row r="117" spans="2:7" x14ac:dyDescent="0.25">
      <c r="B117" s="1">
        <v>111</v>
      </c>
      <c r="C117" s="1">
        <v>-0.73195165325641476</v>
      </c>
      <c r="D117" s="1">
        <v>1.6331064958733514</v>
      </c>
      <c r="E117" s="1">
        <v>-0.14725959867615021</v>
      </c>
      <c r="F117" s="1">
        <v>-7.7952774822334998</v>
      </c>
      <c r="G117" s="1">
        <v>1.0877807680407892</v>
      </c>
    </row>
    <row r="118" spans="2:7" x14ac:dyDescent="0.25">
      <c r="B118" s="1">
        <v>112</v>
      </c>
      <c r="C118" s="1">
        <v>2.3740038304740532</v>
      </c>
      <c r="D118" s="1">
        <v>6.2406476655135403</v>
      </c>
      <c r="E118" s="1">
        <v>8.5195817474946676</v>
      </c>
      <c r="F118" s="1">
        <v>10.406418249557007</v>
      </c>
      <c r="G118" s="1">
        <v>3.8498214135462545</v>
      </c>
    </row>
    <row r="119" spans="2:7" x14ac:dyDescent="0.25">
      <c r="B119" s="1">
        <v>113</v>
      </c>
      <c r="C119" s="1">
        <v>6.4049592779817948</v>
      </c>
      <c r="D119" s="1">
        <v>8.4145772626238209</v>
      </c>
      <c r="E119" s="1">
        <v>4.5488988301020417</v>
      </c>
      <c r="F119" s="1">
        <v>15.351867290511633</v>
      </c>
      <c r="G119" s="1">
        <v>11.948532227594274</v>
      </c>
    </row>
    <row r="120" spans="2:7" x14ac:dyDescent="0.25">
      <c r="B120" s="1">
        <v>114</v>
      </c>
      <c r="C120" s="1">
        <v>2.3881891538846438</v>
      </c>
      <c r="D120" s="1">
        <v>4.0117882174165009</v>
      </c>
      <c r="E120" s="1">
        <v>-0.13940707181068637</v>
      </c>
      <c r="F120" s="1">
        <v>16.030450641285256</v>
      </c>
      <c r="G120" s="1">
        <v>-0.75557791084801917</v>
      </c>
    </row>
    <row r="121" spans="2:7" x14ac:dyDescent="0.25">
      <c r="B121" s="1">
        <v>115</v>
      </c>
      <c r="C121" s="1">
        <v>0.42060092279510752</v>
      </c>
      <c r="D121" s="1">
        <v>6.0613651415712297</v>
      </c>
      <c r="E121" s="1">
        <v>6.039252884115081</v>
      </c>
      <c r="F121" s="1">
        <v>7.8167360226622771</v>
      </c>
      <c r="G121" s="1">
        <v>19.278176388268111</v>
      </c>
    </row>
    <row r="122" spans="2:7" x14ac:dyDescent="0.25">
      <c r="B122" s="1">
        <v>116</v>
      </c>
      <c r="C122" s="1">
        <v>3.2028784637254115</v>
      </c>
      <c r="D122" s="1">
        <v>5.0465387760364324</v>
      </c>
      <c r="E122" s="1">
        <v>-1.3485298145647751</v>
      </c>
      <c r="F122" s="1">
        <v>12.117709470216008</v>
      </c>
      <c r="G122" s="1">
        <v>11.777186962174271</v>
      </c>
    </row>
    <row r="123" spans="2:7" x14ac:dyDescent="0.25">
      <c r="B123" s="1">
        <v>117</v>
      </c>
      <c r="C123" s="1">
        <v>0.35934323285683467</v>
      </c>
      <c r="D123" s="1">
        <v>-1.3859980939095866</v>
      </c>
      <c r="E123" s="1">
        <v>5.1773853860058834</v>
      </c>
      <c r="F123" s="1">
        <v>7.9316877579549576</v>
      </c>
      <c r="G123" s="1">
        <v>13.364887197289168</v>
      </c>
    </row>
    <row r="124" spans="2:7" x14ac:dyDescent="0.25">
      <c r="B124" s="1">
        <v>118</v>
      </c>
      <c r="C124" s="1">
        <v>-0.48005628270727829</v>
      </c>
      <c r="D124" s="1">
        <v>-2.6519909050613695</v>
      </c>
      <c r="E124" s="1">
        <v>3.8674922859429719</v>
      </c>
      <c r="F124" s="1">
        <v>6.5547374120496231</v>
      </c>
      <c r="G124" s="1">
        <v>24.085513385373414</v>
      </c>
    </row>
    <row r="125" spans="2:7" x14ac:dyDescent="0.25">
      <c r="B125" s="1">
        <v>119</v>
      </c>
      <c r="C125" s="1">
        <v>5.602116610207406</v>
      </c>
      <c r="D125" s="1">
        <v>-1.4709098812707613</v>
      </c>
      <c r="E125" s="1">
        <v>6.6336144887213777</v>
      </c>
      <c r="F125" s="1">
        <v>7.856622897706198</v>
      </c>
      <c r="G125" s="1">
        <v>8.4850870013592132</v>
      </c>
    </row>
    <row r="126" spans="2:7" x14ac:dyDescent="0.25">
      <c r="B126" s="1">
        <v>120</v>
      </c>
      <c r="C126" s="1">
        <v>0.90747108921465669</v>
      </c>
      <c r="D126" s="1">
        <v>-1.1471936887256935</v>
      </c>
      <c r="E126" s="1">
        <v>12.445295229605021</v>
      </c>
      <c r="F126" s="1">
        <v>17.392073554513896</v>
      </c>
      <c r="G126" s="1">
        <v>15.657261374787794</v>
      </c>
    </row>
    <row r="127" spans="2:7" x14ac:dyDescent="0.25">
      <c r="B127" s="1">
        <v>121</v>
      </c>
      <c r="C127" s="1">
        <v>3.9738613431043124</v>
      </c>
      <c r="D127" s="1">
        <v>-2.7440805043398924</v>
      </c>
      <c r="E127" s="1">
        <v>9.0076191018337024</v>
      </c>
      <c r="F127" s="1">
        <v>11.679093508148284</v>
      </c>
      <c r="G127" s="1">
        <v>-7.1497891025674978</v>
      </c>
    </row>
    <row r="128" spans="2:7" x14ac:dyDescent="0.25">
      <c r="B128" s="1">
        <v>122</v>
      </c>
      <c r="C128" s="1">
        <v>3.0567761547937469</v>
      </c>
      <c r="D128" s="1">
        <v>8.6833792928150668</v>
      </c>
      <c r="E128" s="1">
        <v>6.8110219395937097</v>
      </c>
      <c r="F128" s="1">
        <v>14.699606611020108</v>
      </c>
      <c r="G128" s="1">
        <v>-2.5282316218249972</v>
      </c>
    </row>
    <row r="129" spans="2:7" x14ac:dyDescent="0.25">
      <c r="B129" s="1">
        <v>123</v>
      </c>
      <c r="C129" s="1">
        <v>0.91515219223274835</v>
      </c>
      <c r="D129" s="1">
        <v>10.75341502915569</v>
      </c>
      <c r="E129" s="1">
        <v>0.85601358250490867</v>
      </c>
      <c r="F129" s="1">
        <v>18.654967057443233</v>
      </c>
      <c r="G129" s="1">
        <v>19.878257753102435</v>
      </c>
    </row>
    <row r="130" spans="2:7" x14ac:dyDescent="0.25">
      <c r="B130" s="1">
        <v>124</v>
      </c>
      <c r="C130" s="1">
        <v>2.6167272014822958</v>
      </c>
      <c r="D130" s="1">
        <v>-1.7784619224834974</v>
      </c>
      <c r="E130" s="1">
        <v>5.8362331746506504</v>
      </c>
      <c r="F130" s="1">
        <v>9.7240006642156107</v>
      </c>
      <c r="G130" s="1">
        <v>-12.329974258167342</v>
      </c>
    </row>
    <row r="131" spans="2:7" x14ac:dyDescent="0.25">
      <c r="B131" s="1">
        <v>125</v>
      </c>
      <c r="C131" s="1">
        <v>5.9796438248168444</v>
      </c>
      <c r="D131" s="1">
        <v>13.357132448914053</v>
      </c>
      <c r="E131" s="1">
        <v>2.9124259378976607</v>
      </c>
      <c r="F131" s="1">
        <v>9.7475175276682915</v>
      </c>
      <c r="G131" s="1">
        <v>-11.705162530741427</v>
      </c>
    </row>
    <row r="132" spans="2:7" x14ac:dyDescent="0.25">
      <c r="B132" s="1">
        <v>126</v>
      </c>
      <c r="C132" s="1">
        <v>3.0864380949201777</v>
      </c>
      <c r="D132" s="1">
        <v>12.658244890704498</v>
      </c>
      <c r="E132" s="1">
        <v>13.623656905764591</v>
      </c>
      <c r="F132" s="1">
        <v>5.9023779038481434</v>
      </c>
      <c r="G132" s="1">
        <v>5.570328100110113</v>
      </c>
    </row>
    <row r="133" spans="2:7" x14ac:dyDescent="0.25">
      <c r="B133" s="1">
        <v>127</v>
      </c>
      <c r="C133" s="1">
        <v>4.2942277590854632</v>
      </c>
      <c r="D133" s="1">
        <v>1.2948634065841556</v>
      </c>
      <c r="E133" s="1">
        <v>-0.82186617541013618</v>
      </c>
      <c r="F133" s="1">
        <v>-2.531151649538165</v>
      </c>
      <c r="G133" s="1">
        <v>38.02084401825681</v>
      </c>
    </row>
    <row r="134" spans="2:7" x14ac:dyDescent="0.25">
      <c r="B134" s="1">
        <v>128</v>
      </c>
      <c r="C134" s="1">
        <v>2.5554230689128681</v>
      </c>
      <c r="D134" s="1">
        <v>7.6404962417817188</v>
      </c>
      <c r="E134" s="1">
        <v>4.940679032820718</v>
      </c>
      <c r="F134" s="1">
        <v>1.2125470068254749</v>
      </c>
      <c r="G134" s="1">
        <v>-0.25334178866269141</v>
      </c>
    </row>
    <row r="135" spans="2:7" x14ac:dyDescent="0.25">
      <c r="B135" s="1">
        <v>129</v>
      </c>
      <c r="C135" s="1">
        <v>2.982172701543937</v>
      </c>
      <c r="D135" s="1">
        <v>2.6606902851191778</v>
      </c>
      <c r="E135" s="1">
        <v>4.1566691060769854</v>
      </c>
      <c r="F135" s="1">
        <v>-5.1711815099308653</v>
      </c>
      <c r="G135" s="1">
        <v>3.8081363620540722</v>
      </c>
    </row>
    <row r="136" spans="2:7" x14ac:dyDescent="0.25">
      <c r="B136" s="1">
        <v>130</v>
      </c>
      <c r="C136" s="1">
        <v>-0.97397152408619458</v>
      </c>
      <c r="D136" s="1">
        <v>4.9804895427338085</v>
      </c>
      <c r="E136" s="1">
        <v>8.4476779334662329</v>
      </c>
      <c r="F136" s="1">
        <v>14.378285857292896</v>
      </c>
      <c r="G136" s="1">
        <v>0.87084073370736714</v>
      </c>
    </row>
    <row r="137" spans="2:7" x14ac:dyDescent="0.25">
      <c r="B137" s="1">
        <v>131</v>
      </c>
      <c r="C137" s="1">
        <v>2.9736017698106503</v>
      </c>
      <c r="D137" s="1">
        <v>-5.965991481379322</v>
      </c>
      <c r="E137" s="1">
        <v>5.2385903805867473</v>
      </c>
      <c r="F137" s="1">
        <v>12.610722424560516</v>
      </c>
      <c r="G137" s="1">
        <v>12.271418790381292</v>
      </c>
    </row>
    <row r="138" spans="2:7" x14ac:dyDescent="0.25">
      <c r="B138" s="1">
        <v>132</v>
      </c>
      <c r="C138" s="1">
        <v>4.1140053739942699</v>
      </c>
      <c r="D138" s="1">
        <v>-5.3977947212106301</v>
      </c>
      <c r="E138" s="1">
        <v>3.415328748846377</v>
      </c>
      <c r="F138" s="1">
        <v>3.4762000330526717</v>
      </c>
      <c r="G138" s="1">
        <v>13.930156571322645</v>
      </c>
    </row>
    <row r="139" spans="2:7" x14ac:dyDescent="0.25">
      <c r="B139" s="1">
        <v>133</v>
      </c>
      <c r="C139" s="1">
        <v>2.7988082653541069</v>
      </c>
      <c r="D139" s="1">
        <v>7.7301928090767165</v>
      </c>
      <c r="E139" s="1">
        <v>17.179016275810849</v>
      </c>
      <c r="F139" s="1">
        <v>2.7390195226020815</v>
      </c>
      <c r="G139" s="1">
        <v>-10.051294377168448</v>
      </c>
    </row>
    <row r="140" spans="2:7" x14ac:dyDescent="0.25">
      <c r="B140" s="1">
        <v>134</v>
      </c>
      <c r="C140" s="1">
        <v>0.96211048831802781</v>
      </c>
      <c r="D140" s="1">
        <v>3.6214371346140624</v>
      </c>
      <c r="E140" s="1">
        <v>16.728963217452058</v>
      </c>
      <c r="F140" s="1">
        <v>-8.4968350608169168</v>
      </c>
      <c r="G140" s="1">
        <v>-8.512524567803327</v>
      </c>
    </row>
    <row r="141" spans="2:7" x14ac:dyDescent="0.25">
      <c r="B141" s="1">
        <v>135</v>
      </c>
      <c r="C141" s="1">
        <v>0.38146257060769795</v>
      </c>
      <c r="D141" s="1">
        <v>4.0912474130487748</v>
      </c>
      <c r="E141" s="1">
        <v>-0.16000017391481713</v>
      </c>
      <c r="F141" s="1">
        <v>3.1818869720015699</v>
      </c>
      <c r="G141" s="1">
        <v>14.837414757348832</v>
      </c>
    </row>
    <row r="142" spans="2:7" x14ac:dyDescent="0.25">
      <c r="B142" s="1">
        <v>136</v>
      </c>
      <c r="C142" s="1">
        <v>5.3802050220726709</v>
      </c>
      <c r="D142" s="1">
        <v>11.335538817784512</v>
      </c>
      <c r="E142" s="1">
        <v>7.6387822112111197</v>
      </c>
      <c r="F142" s="1">
        <v>-0.45792717606345718</v>
      </c>
      <c r="G142" s="1">
        <v>-5.5839374768533103</v>
      </c>
    </row>
    <row r="143" spans="2:7" x14ac:dyDescent="0.25">
      <c r="B143" s="1">
        <v>137</v>
      </c>
      <c r="C143" s="1">
        <v>4.0397767113583294</v>
      </c>
      <c r="D143" s="1">
        <v>-3.4755498483108753</v>
      </c>
      <c r="E143" s="1">
        <v>11.391792802629027</v>
      </c>
      <c r="F143" s="1">
        <v>14.661729217792352</v>
      </c>
      <c r="G143" s="1">
        <v>-22.882860861820006</v>
      </c>
    </row>
    <row r="144" spans="2:7" x14ac:dyDescent="0.25">
      <c r="B144" s="1">
        <v>138</v>
      </c>
      <c r="C144" s="1">
        <v>2.6320063346536058</v>
      </c>
      <c r="D144" s="1">
        <v>5.0618146458299211</v>
      </c>
      <c r="E144" s="1">
        <v>7.9653923863799605</v>
      </c>
      <c r="F144" s="1">
        <v>11.090972666135062</v>
      </c>
      <c r="G144" s="1">
        <v>-15.939257210332338</v>
      </c>
    </row>
    <row r="145" spans="2:7" x14ac:dyDescent="0.25">
      <c r="B145" s="1">
        <v>139</v>
      </c>
      <c r="C145" s="1">
        <v>5.7948783476631931</v>
      </c>
      <c r="D145" s="1">
        <v>7.5751867983396455</v>
      </c>
      <c r="E145" s="1">
        <v>6.3065856367126685</v>
      </c>
      <c r="F145" s="1">
        <v>5.5951587633912592</v>
      </c>
      <c r="G145" s="1">
        <v>16.183787669446534</v>
      </c>
    </row>
    <row r="146" spans="2:7" x14ac:dyDescent="0.25">
      <c r="B146" s="1">
        <v>140</v>
      </c>
      <c r="C146" s="1">
        <v>1.7943314196357143</v>
      </c>
      <c r="D146" s="1">
        <v>1.4149795418733886</v>
      </c>
      <c r="E146" s="1">
        <v>-10.841921637206864</v>
      </c>
      <c r="F146" s="1">
        <v>23.969126304709985</v>
      </c>
      <c r="G146" s="1">
        <v>2.5705635314687227</v>
      </c>
    </row>
    <row r="147" spans="2:7" x14ac:dyDescent="0.25">
      <c r="B147" s="1">
        <v>141</v>
      </c>
      <c r="C147" s="1">
        <v>8.2743090832414055</v>
      </c>
      <c r="D147" s="1">
        <v>8.8054332157826636</v>
      </c>
      <c r="E147" s="1">
        <v>0.65834448091151865</v>
      </c>
      <c r="F147" s="1">
        <v>5.4617310494583862</v>
      </c>
      <c r="G147" s="1">
        <v>10.992348623635511</v>
      </c>
    </row>
    <row r="148" spans="2:7" x14ac:dyDescent="0.25">
      <c r="B148" s="1">
        <v>142</v>
      </c>
      <c r="C148" s="1">
        <v>2.8869444136148585</v>
      </c>
      <c r="D148" s="1">
        <v>12.694607797599199</v>
      </c>
      <c r="E148" s="1">
        <v>-1.9389019013230813</v>
      </c>
      <c r="F148" s="1">
        <v>9.4223660516793011</v>
      </c>
      <c r="G148" s="1">
        <v>-0.1492593610846161</v>
      </c>
    </row>
    <row r="149" spans="2:7" x14ac:dyDescent="0.25">
      <c r="B149" s="1">
        <v>143</v>
      </c>
      <c r="C149" s="1">
        <v>0.10465087017997887</v>
      </c>
      <c r="D149" s="1">
        <v>-0.78667657767701937</v>
      </c>
      <c r="E149" s="1">
        <v>0.55666793334039688</v>
      </c>
      <c r="F149" s="1">
        <v>-0.81203560999764046</v>
      </c>
      <c r="G149" s="1">
        <v>2.4783568579650628</v>
      </c>
    </row>
    <row r="150" spans="2:7" x14ac:dyDescent="0.25">
      <c r="B150" s="1">
        <v>144</v>
      </c>
      <c r="C150" s="1">
        <v>3.1249509636322825</v>
      </c>
      <c r="D150" s="1">
        <v>1.6127626879077717</v>
      </c>
      <c r="E150" s="1">
        <v>6.4264585510913665</v>
      </c>
      <c r="F150" s="1">
        <v>-0.32612693656752706</v>
      </c>
      <c r="G150" s="1">
        <v>5.0376657321287253</v>
      </c>
    </row>
    <row r="151" spans="2:7" x14ac:dyDescent="0.25">
      <c r="B151" s="1">
        <v>145</v>
      </c>
      <c r="C151" s="1">
        <v>0.47044568601657577</v>
      </c>
      <c r="D151" s="1">
        <v>-3.0426310246119228</v>
      </c>
      <c r="E151" s="1">
        <v>2.0605075912958069</v>
      </c>
      <c r="F151" s="1">
        <v>9.7545807761127392</v>
      </c>
      <c r="G151" s="1">
        <v>6.3496810198923956</v>
      </c>
    </row>
    <row r="152" spans="2:7" x14ac:dyDescent="0.25">
      <c r="B152" s="1">
        <v>146</v>
      </c>
      <c r="C152" s="1">
        <v>2.2833793579789603</v>
      </c>
      <c r="D152" s="1">
        <v>2.0673282466298915</v>
      </c>
      <c r="E152" s="1">
        <v>-3.6753347614342573</v>
      </c>
      <c r="F152" s="1">
        <v>1.863820634682658</v>
      </c>
      <c r="G152" s="1">
        <v>-4.8143993855417584</v>
      </c>
    </row>
    <row r="153" spans="2:7" x14ac:dyDescent="0.25">
      <c r="B153" s="1">
        <v>147</v>
      </c>
      <c r="C153" s="1">
        <v>-1.5288234004338506</v>
      </c>
      <c r="D153" s="1">
        <v>1.0658010629519736</v>
      </c>
      <c r="E153" s="1">
        <v>1.6348286519357436</v>
      </c>
      <c r="F153" s="1">
        <v>18.044896848868767</v>
      </c>
      <c r="G153" s="1">
        <v>4.4178930279140483</v>
      </c>
    </row>
    <row r="154" spans="2:7" x14ac:dyDescent="0.25">
      <c r="B154" s="1">
        <v>148</v>
      </c>
      <c r="C154" s="1">
        <v>0.79138365090739948</v>
      </c>
      <c r="D154" s="1">
        <v>-0.75928407933680875</v>
      </c>
      <c r="E154" s="1">
        <v>-4.2767902894400889</v>
      </c>
      <c r="F154" s="1">
        <v>9.956810171115853</v>
      </c>
      <c r="G154" s="1">
        <v>13.870560775293843</v>
      </c>
    </row>
    <row r="155" spans="2:7" x14ac:dyDescent="0.25">
      <c r="B155" s="1">
        <v>149</v>
      </c>
      <c r="C155" s="1">
        <v>5.2032360366397885</v>
      </c>
      <c r="D155" s="1">
        <v>8.5306669270562239</v>
      </c>
      <c r="E155" s="1">
        <v>7.4513991073641712</v>
      </c>
      <c r="F155" s="1">
        <v>29.03916459512234</v>
      </c>
      <c r="G155" s="1">
        <v>11.344487986394181</v>
      </c>
    </row>
    <row r="156" spans="2:7" x14ac:dyDescent="0.25">
      <c r="B156" s="1">
        <v>150</v>
      </c>
      <c r="C156" s="1">
        <v>1.4871704846900562</v>
      </c>
      <c r="D156" s="1">
        <v>9.9500490951184819</v>
      </c>
      <c r="E156" s="1">
        <v>1.097771824469884</v>
      </c>
      <c r="F156" s="1">
        <v>15.166032286497346</v>
      </c>
      <c r="G156" s="1">
        <v>-15.030390095611477</v>
      </c>
    </row>
    <row r="157" spans="2:7" x14ac:dyDescent="0.25">
      <c r="B157" s="1">
        <v>151</v>
      </c>
      <c r="C157" s="1">
        <v>6.2233622743662877</v>
      </c>
      <c r="D157" s="1">
        <v>15.893753758459939</v>
      </c>
      <c r="E157" s="1">
        <v>9.2779908791854755</v>
      </c>
      <c r="F157" s="1">
        <v>19.676235192862883</v>
      </c>
      <c r="G157" s="1">
        <v>17.695017479547374</v>
      </c>
    </row>
    <row r="158" spans="2:7" x14ac:dyDescent="0.25">
      <c r="B158" s="1">
        <v>152</v>
      </c>
      <c r="C158" s="1">
        <v>4.4439316723152373</v>
      </c>
      <c r="D158" s="1">
        <v>3.4736162848968863</v>
      </c>
      <c r="E158" s="1">
        <v>22.67370346208774</v>
      </c>
      <c r="F158" s="1">
        <v>4.8596914792325574</v>
      </c>
      <c r="G158" s="1">
        <v>-6.452683056458989</v>
      </c>
    </row>
    <row r="159" spans="2:7" x14ac:dyDescent="0.25">
      <c r="B159" s="1">
        <v>153</v>
      </c>
      <c r="C159" s="1">
        <v>0.72228739196788849</v>
      </c>
      <c r="D159" s="1">
        <v>2.3645905495598889</v>
      </c>
      <c r="E159" s="1">
        <v>4.399504008064107</v>
      </c>
      <c r="F159" s="1">
        <v>-21.53121336185135</v>
      </c>
      <c r="G159" s="1">
        <v>-1.2297761792588191</v>
      </c>
    </row>
    <row r="160" spans="2:7" x14ac:dyDescent="0.25">
      <c r="B160" s="1">
        <v>154</v>
      </c>
      <c r="C160" s="1">
        <v>-1.0229794419587406</v>
      </c>
      <c r="D160" s="1">
        <v>8.0953686139074623</v>
      </c>
      <c r="E160" s="1">
        <v>-7.7613239319943093</v>
      </c>
      <c r="F160" s="1">
        <v>6.4835495873389162</v>
      </c>
      <c r="G160" s="1">
        <v>-15.337318530838022</v>
      </c>
    </row>
    <row r="161" spans="2:7" x14ac:dyDescent="0.25">
      <c r="B161" s="1">
        <v>155</v>
      </c>
      <c r="C161" s="1">
        <v>2.8905595628556169</v>
      </c>
      <c r="D161" s="1">
        <v>1.2709640189216747</v>
      </c>
      <c r="E161" s="1">
        <v>8.2613207911562156</v>
      </c>
      <c r="F161" s="1">
        <v>10.76038356531107</v>
      </c>
      <c r="G161" s="1">
        <v>33.318164374919078</v>
      </c>
    </row>
    <row r="162" spans="2:7" x14ac:dyDescent="0.25">
      <c r="B162" s="1">
        <v>156</v>
      </c>
      <c r="C162" s="1">
        <v>-0.93131642816690619</v>
      </c>
      <c r="D162" s="1">
        <v>-3.3009784358029042</v>
      </c>
      <c r="E162" s="1">
        <v>-3.683597359496722</v>
      </c>
      <c r="F162" s="1">
        <v>-5.06669668124316</v>
      </c>
      <c r="G162" s="1">
        <v>6.7612642479000291</v>
      </c>
    </row>
    <row r="163" spans="2:7" x14ac:dyDescent="0.25">
      <c r="B163" s="1">
        <v>157</v>
      </c>
      <c r="C163" s="1">
        <v>5.510881284577013</v>
      </c>
      <c r="D163" s="1">
        <v>3.5879867787391291</v>
      </c>
      <c r="E163" s="1">
        <v>5.2632144877593783</v>
      </c>
      <c r="F163" s="1">
        <v>-5.6907304963895342</v>
      </c>
      <c r="G163" s="1">
        <v>-8.8277457619560717</v>
      </c>
    </row>
    <row r="164" spans="2:7" x14ac:dyDescent="0.25">
      <c r="B164" s="1">
        <v>158</v>
      </c>
      <c r="C164" s="1">
        <v>0.54538933766231379</v>
      </c>
      <c r="D164" s="1">
        <v>1.7501154153350753</v>
      </c>
      <c r="E164" s="1">
        <v>8.2844595400757299</v>
      </c>
      <c r="F164" s="1">
        <v>5.4548775002045353</v>
      </c>
      <c r="G164" s="1">
        <v>15.604481979884554</v>
      </c>
    </row>
    <row r="165" spans="2:7" x14ac:dyDescent="0.25">
      <c r="B165" s="1">
        <v>159</v>
      </c>
      <c r="C165" s="1">
        <v>6.1372319653283203</v>
      </c>
      <c r="D165" s="1">
        <v>7.7938246609365667</v>
      </c>
      <c r="E165" s="1">
        <v>12.685417352554506</v>
      </c>
      <c r="F165" s="1">
        <v>17.684511477707431</v>
      </c>
      <c r="G165" s="1">
        <v>7.323339440366289</v>
      </c>
    </row>
    <row r="166" spans="2:7" x14ac:dyDescent="0.25">
      <c r="B166" s="1">
        <v>160</v>
      </c>
      <c r="C166" s="1">
        <v>-3.1473865401902952</v>
      </c>
      <c r="D166" s="1">
        <v>2.3741867568024406</v>
      </c>
      <c r="E166" s="1">
        <v>-5.5315179527490352</v>
      </c>
      <c r="F166" s="1">
        <v>-5.2360253065723859</v>
      </c>
      <c r="G166" s="1">
        <v>-8.8515103738043823</v>
      </c>
    </row>
    <row r="167" spans="2:7" x14ac:dyDescent="0.25">
      <c r="B167" s="1">
        <v>161</v>
      </c>
      <c r="C167" s="1">
        <v>1.4124231459730041</v>
      </c>
      <c r="D167" s="1">
        <v>-2.3251852511999767</v>
      </c>
      <c r="E167" s="1">
        <v>5.8602003095052293</v>
      </c>
      <c r="F167" s="1">
        <v>19.236654686558815</v>
      </c>
      <c r="G167" s="1">
        <v>-4.257279346664661</v>
      </c>
    </row>
    <row r="168" spans="2:7" x14ac:dyDescent="0.25">
      <c r="B168" s="1">
        <v>162</v>
      </c>
      <c r="C168" s="1">
        <v>5.4181153633302408</v>
      </c>
      <c r="D168" s="1">
        <v>11.500619137951208</v>
      </c>
      <c r="E168" s="1">
        <v>10.555587917430199</v>
      </c>
      <c r="F168" s="1">
        <v>17.058459212839921</v>
      </c>
      <c r="G168" s="1">
        <v>13.995041124451864</v>
      </c>
    </row>
    <row r="169" spans="2:7" x14ac:dyDescent="0.25">
      <c r="B169" s="1">
        <v>163</v>
      </c>
      <c r="C169" s="1">
        <v>7.481528857032874</v>
      </c>
      <c r="D169" s="1">
        <v>7.3590331733328789</v>
      </c>
      <c r="E169" s="1">
        <v>0.19649098590093969</v>
      </c>
      <c r="F169" s="1">
        <v>-1.4854937317100656</v>
      </c>
      <c r="G169" s="1">
        <v>30.904209753589075</v>
      </c>
    </row>
    <row r="170" spans="2:7" x14ac:dyDescent="0.25">
      <c r="B170" s="1">
        <v>164</v>
      </c>
      <c r="C170" s="1">
        <v>-0.14627933025788709</v>
      </c>
      <c r="D170" s="1">
        <v>7.8065169184185281</v>
      </c>
      <c r="E170" s="1">
        <v>8.5292727610987651</v>
      </c>
      <c r="F170" s="1">
        <v>-11.589163023856647</v>
      </c>
      <c r="G170" s="1">
        <v>3.8172807761219167</v>
      </c>
    </row>
    <row r="171" spans="2:7" x14ac:dyDescent="0.25">
      <c r="B171" s="1">
        <v>165</v>
      </c>
      <c r="C171" s="1">
        <v>11.472312157029027</v>
      </c>
      <c r="D171" s="1">
        <v>9.6146794142176901</v>
      </c>
      <c r="E171" s="1">
        <v>18.006226845101757</v>
      </c>
      <c r="F171" s="1">
        <v>7.7027601335522586</v>
      </c>
      <c r="G171" s="1">
        <v>14.203042965121876</v>
      </c>
    </row>
    <row r="172" spans="2:7" x14ac:dyDescent="0.25">
      <c r="B172" s="1">
        <v>166</v>
      </c>
      <c r="C172" s="1">
        <v>4.9815786001375191</v>
      </c>
      <c r="D172" s="1">
        <v>3.0402187372464193</v>
      </c>
      <c r="E172" s="1">
        <v>4.8222700405263756</v>
      </c>
      <c r="F172" s="1">
        <v>-2.3674800297396428</v>
      </c>
      <c r="G172" s="1">
        <v>14.537855170171291</v>
      </c>
    </row>
    <row r="173" spans="2:7" x14ac:dyDescent="0.25">
      <c r="B173" s="1">
        <v>167</v>
      </c>
      <c r="C173" s="1">
        <v>-1.6324705257019039</v>
      </c>
      <c r="D173" s="1">
        <v>5.6465117705303127</v>
      </c>
      <c r="E173" s="1">
        <v>1.6500943551152212</v>
      </c>
      <c r="F173" s="1">
        <v>3.3881629862828953</v>
      </c>
      <c r="G173" s="1">
        <v>-4.9626233530123027</v>
      </c>
    </row>
    <row r="174" spans="2:7" x14ac:dyDescent="0.25">
      <c r="B174" s="1">
        <v>168</v>
      </c>
      <c r="C174" s="1">
        <v>5.7690199773562707</v>
      </c>
      <c r="D174" s="1">
        <v>1.9022778376049196</v>
      </c>
      <c r="E174" s="1">
        <v>16.428113591039995</v>
      </c>
      <c r="F174" s="1">
        <v>8.3374661824342802</v>
      </c>
      <c r="G174" s="1">
        <v>7.8807303502740629</v>
      </c>
    </row>
    <row r="175" spans="2:7" x14ac:dyDescent="0.25">
      <c r="B175" s="1">
        <v>169</v>
      </c>
      <c r="C175" s="1">
        <v>5.8421963669840036</v>
      </c>
      <c r="D175" s="1">
        <v>-2.6222535931148649</v>
      </c>
      <c r="E175" s="1">
        <v>15.833822908013286</v>
      </c>
      <c r="F175" s="1">
        <v>2.284266172208163</v>
      </c>
      <c r="G175" s="1">
        <v>13.573153250156341</v>
      </c>
    </row>
    <row r="176" spans="2:7" x14ac:dyDescent="0.25">
      <c r="B176" s="1">
        <v>170</v>
      </c>
      <c r="C176" s="1">
        <v>13.000102018512708</v>
      </c>
      <c r="D176" s="1">
        <v>12.322219257753151</v>
      </c>
      <c r="E176" s="1">
        <v>7.0629823107647711</v>
      </c>
      <c r="F176" s="1">
        <v>8.8225448770718309</v>
      </c>
      <c r="G176" s="1">
        <v>2.3199090804002265</v>
      </c>
    </row>
    <row r="177" spans="2:7" x14ac:dyDescent="0.25">
      <c r="B177" s="1">
        <v>171</v>
      </c>
      <c r="C177" s="1">
        <v>8.1376909810056031</v>
      </c>
      <c r="D177" s="1">
        <v>12.686705759875991</v>
      </c>
      <c r="E177" s="1">
        <v>12.966342653577824</v>
      </c>
      <c r="F177" s="1">
        <v>2.2895576735478382</v>
      </c>
      <c r="G177" s="1">
        <v>-6.0734046483524731</v>
      </c>
    </row>
    <row r="178" spans="2:7" x14ac:dyDescent="0.25">
      <c r="B178" s="1">
        <v>172</v>
      </c>
      <c r="C178" s="1">
        <v>1.7170605752654595</v>
      </c>
      <c r="D178" s="1">
        <v>8.5292792729155451</v>
      </c>
      <c r="E178" s="1">
        <v>-1.1024386780967583</v>
      </c>
      <c r="F178" s="1">
        <v>8.0955331968704201</v>
      </c>
      <c r="G178" s="1">
        <v>-3.0557536638652918</v>
      </c>
    </row>
    <row r="179" spans="2:7" x14ac:dyDescent="0.25">
      <c r="B179" s="1">
        <v>173</v>
      </c>
      <c r="C179" s="1">
        <v>0.48245556282111224</v>
      </c>
      <c r="D179" s="1">
        <v>-0.53704093477232728</v>
      </c>
      <c r="E179" s="1">
        <v>2.1888695776353506</v>
      </c>
      <c r="F179" s="1">
        <v>7.3133089472748747</v>
      </c>
      <c r="G179" s="1">
        <v>-1.7436465574475042</v>
      </c>
    </row>
    <row r="180" spans="2:7" x14ac:dyDescent="0.25">
      <c r="B180" s="1">
        <v>174</v>
      </c>
      <c r="C180" s="1">
        <v>2.0136479123846653</v>
      </c>
      <c r="D180" s="1">
        <v>3.3359095072437439</v>
      </c>
      <c r="E180" s="1">
        <v>4.3338601713373883</v>
      </c>
      <c r="F180" s="1">
        <v>6.6183577651478158</v>
      </c>
      <c r="G180" s="1">
        <v>-0.81535409987696839</v>
      </c>
    </row>
    <row r="181" spans="2:7" x14ac:dyDescent="0.25">
      <c r="B181" s="1">
        <v>175</v>
      </c>
      <c r="C181" s="1">
        <v>5.455895613429429</v>
      </c>
      <c r="D181" s="1">
        <v>0.40093403692505286</v>
      </c>
      <c r="E181" s="1">
        <v>-3.431139119203344</v>
      </c>
      <c r="F181" s="1">
        <v>2.5158441823508491</v>
      </c>
      <c r="G181" s="1">
        <v>20.366880570785714</v>
      </c>
    </row>
    <row r="182" spans="2:7" x14ac:dyDescent="0.25">
      <c r="B182" s="1">
        <v>176</v>
      </c>
      <c r="C182" s="1">
        <v>-1.6324826648319526</v>
      </c>
      <c r="D182" s="1">
        <v>-1.1392266669467428</v>
      </c>
      <c r="E182" s="1">
        <v>-4.1586850591413134</v>
      </c>
      <c r="F182" s="1">
        <v>4.5163395186041546</v>
      </c>
      <c r="G182" s="1">
        <v>0.92838612810631738</v>
      </c>
    </row>
    <row r="183" spans="2:7" x14ac:dyDescent="0.25">
      <c r="B183" s="1">
        <v>177</v>
      </c>
      <c r="C183" s="1">
        <v>5.5001768287637258</v>
      </c>
      <c r="D183" s="1">
        <v>9.264498192864183</v>
      </c>
      <c r="E183" s="1">
        <v>3.0660621380036193</v>
      </c>
      <c r="F183" s="1">
        <v>15.759302112012072</v>
      </c>
      <c r="G183" s="1">
        <v>4.8518506897605826</v>
      </c>
    </row>
    <row r="184" spans="2:7" x14ac:dyDescent="0.25">
      <c r="B184" s="1">
        <v>178</v>
      </c>
      <c r="C184" s="1">
        <v>1.4732408425544243</v>
      </c>
      <c r="D184" s="1">
        <v>-0.95906809951667993</v>
      </c>
      <c r="E184" s="1">
        <v>12.034100949954384</v>
      </c>
      <c r="F184" s="1">
        <v>-0.72866258416311669</v>
      </c>
      <c r="G184" s="1">
        <v>-5.3046144652950797</v>
      </c>
    </row>
    <row r="185" spans="2:7" x14ac:dyDescent="0.25">
      <c r="B185" s="1">
        <v>179</v>
      </c>
      <c r="C185" s="1">
        <v>0.91378201469109022</v>
      </c>
      <c r="D185" s="1">
        <v>-1.7134708669287064</v>
      </c>
      <c r="E185" s="1">
        <v>-0.59087342096195328</v>
      </c>
      <c r="F185" s="1">
        <v>5.2249854397670248</v>
      </c>
      <c r="G185" s="1">
        <v>13.938823834166904</v>
      </c>
    </row>
    <row r="186" spans="2:7" x14ac:dyDescent="0.25">
      <c r="B186" s="1">
        <v>180</v>
      </c>
      <c r="C186" s="1">
        <v>3.938925385471852</v>
      </c>
      <c r="D186" s="1">
        <v>7.884275957542787</v>
      </c>
      <c r="E186" s="1">
        <v>10.438575465104105</v>
      </c>
      <c r="F186" s="1">
        <v>-0.70888635592526095</v>
      </c>
      <c r="G186" s="1">
        <v>-14.64871979095599</v>
      </c>
    </row>
    <row r="187" spans="2:7" x14ac:dyDescent="0.25">
      <c r="B187" s="1">
        <v>181</v>
      </c>
      <c r="C187" s="1">
        <v>6.3541196763375405</v>
      </c>
      <c r="D187" s="1">
        <v>9.2473656949899592</v>
      </c>
      <c r="E187" s="1">
        <v>-0.4611792486196179</v>
      </c>
      <c r="F187" s="1">
        <v>9.3228939675889784</v>
      </c>
      <c r="G187" s="1">
        <v>24.911992845486441</v>
      </c>
    </row>
    <row r="188" spans="2:7" x14ac:dyDescent="0.25">
      <c r="B188" s="1">
        <v>182</v>
      </c>
      <c r="C188" s="1">
        <v>0.36589715760862207</v>
      </c>
      <c r="D188" s="1">
        <v>-1.9131085961899106</v>
      </c>
      <c r="E188" s="1">
        <v>-1.4458581068414842</v>
      </c>
      <c r="F188" s="1">
        <v>17.727158969280008</v>
      </c>
      <c r="G188" s="1">
        <v>0.23580059119493879</v>
      </c>
    </row>
    <row r="189" spans="2:7" x14ac:dyDescent="0.25">
      <c r="B189" s="1">
        <v>183</v>
      </c>
      <c r="C189" s="1">
        <v>7.8604004513351455</v>
      </c>
      <c r="D189" s="1">
        <v>11.042354273592633</v>
      </c>
      <c r="E189" s="1">
        <v>2.290589739049754</v>
      </c>
      <c r="F189" s="1">
        <v>13.556647871008199</v>
      </c>
      <c r="G189" s="1">
        <v>20.528417723027722</v>
      </c>
    </row>
    <row r="190" spans="2:7" x14ac:dyDescent="0.25">
      <c r="B190" s="1">
        <v>184</v>
      </c>
      <c r="C190" s="1">
        <v>-0.36566482544865497</v>
      </c>
      <c r="D190" s="1">
        <v>6.4916699443182679</v>
      </c>
      <c r="E190" s="1">
        <v>-3.8363727740911107</v>
      </c>
      <c r="F190" s="1">
        <v>-23.18673054842068</v>
      </c>
      <c r="G190" s="1">
        <v>2.8413654695070689</v>
      </c>
    </row>
    <row r="191" spans="2:7" x14ac:dyDescent="0.25">
      <c r="B191" s="1">
        <v>185</v>
      </c>
      <c r="C191" s="1">
        <v>2.5904698441970346</v>
      </c>
      <c r="D191" s="1">
        <v>1.2452246766031243</v>
      </c>
      <c r="E191" s="1">
        <v>13.538422810346264</v>
      </c>
      <c r="F191" s="1">
        <v>15.129824184158569</v>
      </c>
      <c r="G191" s="1">
        <v>1.1473921562206844</v>
      </c>
    </row>
    <row r="192" spans="2:7" x14ac:dyDescent="0.25">
      <c r="B192" s="1">
        <v>186</v>
      </c>
      <c r="C192" s="1">
        <v>0.55701163156622657</v>
      </c>
      <c r="D192" s="1">
        <v>6.1144639879971585</v>
      </c>
      <c r="E192" s="1">
        <v>13.761716401128487</v>
      </c>
      <c r="F192" s="1">
        <v>-3.9259473355247647</v>
      </c>
      <c r="G192" s="1">
        <v>0.76013454128526592</v>
      </c>
    </row>
    <row r="193" spans="2:7" x14ac:dyDescent="0.25">
      <c r="B193" s="1">
        <v>187</v>
      </c>
      <c r="C193" s="1">
        <v>4.6816917628342107</v>
      </c>
      <c r="D193" s="1">
        <v>7.8977787737909342</v>
      </c>
      <c r="E193" s="1">
        <v>15.266388364353711</v>
      </c>
      <c r="F193" s="1">
        <v>6.6536071394123351</v>
      </c>
      <c r="G193" s="1">
        <v>-2.0690923100623335</v>
      </c>
    </row>
    <row r="194" spans="2:7" x14ac:dyDescent="0.25">
      <c r="B194" s="1">
        <v>188</v>
      </c>
      <c r="C194" s="1">
        <v>5.2946930796794991</v>
      </c>
      <c r="D194" s="1">
        <v>8.5449139273413426</v>
      </c>
      <c r="E194" s="1">
        <v>10.310796108124025</v>
      </c>
      <c r="F194" s="1">
        <v>6.9331698435581712</v>
      </c>
      <c r="G194" s="1">
        <v>4.9702243534578372</v>
      </c>
    </row>
    <row r="195" spans="2:7" x14ac:dyDescent="0.25">
      <c r="B195" s="1">
        <v>189</v>
      </c>
      <c r="C195" s="1">
        <v>2.9983197761616287</v>
      </c>
      <c r="D195" s="1">
        <v>-2.2684503856824225</v>
      </c>
      <c r="E195" s="1">
        <v>-0.75363191606639157</v>
      </c>
      <c r="F195" s="1">
        <v>-1.4568588424661217</v>
      </c>
      <c r="G195" s="1">
        <v>-13.984167554452299</v>
      </c>
    </row>
    <row r="196" spans="2:7" x14ac:dyDescent="0.25">
      <c r="B196" s="1">
        <v>190</v>
      </c>
      <c r="C196" s="1">
        <v>10.148648779650493</v>
      </c>
      <c r="D196" s="1">
        <v>10.895959464525443</v>
      </c>
      <c r="E196" s="1">
        <v>10.123916128876866</v>
      </c>
      <c r="F196" s="1">
        <v>3.8791414317911541</v>
      </c>
      <c r="G196" s="1">
        <v>-8.5239955589080694</v>
      </c>
    </row>
    <row r="197" spans="2:7" x14ac:dyDescent="0.25">
      <c r="B197" s="1">
        <v>191</v>
      </c>
      <c r="C197" s="1">
        <v>-0.20302846768685656</v>
      </c>
      <c r="D197" s="1">
        <v>3.5950412083916969</v>
      </c>
      <c r="E197" s="1">
        <v>8.2907854864878399</v>
      </c>
      <c r="F197" s="1">
        <v>3.4364304823196954</v>
      </c>
      <c r="G197" s="1">
        <v>3.6295620268104014</v>
      </c>
    </row>
    <row r="198" spans="2:7" x14ac:dyDescent="0.25">
      <c r="B198" s="1">
        <v>192</v>
      </c>
      <c r="C198" s="1">
        <v>4.2454198115058404</v>
      </c>
      <c r="D198" s="1">
        <v>-0.28723842304328162</v>
      </c>
      <c r="E198" s="1">
        <v>-7.9901533213388936</v>
      </c>
      <c r="F198" s="1">
        <v>12.508521694678189</v>
      </c>
      <c r="G198" s="1">
        <v>-1.9479148070689194</v>
      </c>
    </row>
    <row r="199" spans="2:7" x14ac:dyDescent="0.25">
      <c r="B199" s="1">
        <v>193</v>
      </c>
      <c r="C199" s="1">
        <v>6.4513508311106982</v>
      </c>
      <c r="D199" s="1">
        <v>2.638700085009785</v>
      </c>
      <c r="E199" s="1">
        <v>-6.0518107036616877</v>
      </c>
      <c r="F199" s="1">
        <v>-0.72838340715998529</v>
      </c>
      <c r="G199" s="1">
        <v>4.285739095300463</v>
      </c>
    </row>
    <row r="200" spans="2:7" x14ac:dyDescent="0.25">
      <c r="B200" s="1">
        <v>194</v>
      </c>
      <c r="C200" s="1">
        <v>5.9181491064113398</v>
      </c>
      <c r="D200" s="1">
        <v>5.5956230146065398</v>
      </c>
      <c r="E200" s="1">
        <v>9.517191163327718</v>
      </c>
      <c r="F200" s="1">
        <v>-4.6218615387280524</v>
      </c>
      <c r="G200" s="1">
        <v>-16.691905154008438</v>
      </c>
    </row>
    <row r="201" spans="2:7" x14ac:dyDescent="0.25">
      <c r="B201" s="1">
        <v>195</v>
      </c>
      <c r="C201" s="1">
        <v>5.7690933506213149</v>
      </c>
      <c r="D201" s="1">
        <v>2.387595303853506</v>
      </c>
      <c r="E201" s="1">
        <v>3.0253055176440622</v>
      </c>
      <c r="F201" s="1">
        <v>5.9174837395438651</v>
      </c>
      <c r="G201" s="1">
        <v>4.4518590984021031</v>
      </c>
    </row>
    <row r="202" spans="2:7" x14ac:dyDescent="0.25">
      <c r="B202" s="1">
        <v>196</v>
      </c>
      <c r="C202" s="1">
        <v>6.6710511831401726</v>
      </c>
      <c r="D202" s="1">
        <v>4.1600105643698155</v>
      </c>
      <c r="E202" s="1">
        <v>-2.460275800877703</v>
      </c>
      <c r="F202" s="1">
        <v>-1.2223393147424793</v>
      </c>
      <c r="G202" s="1">
        <v>2.1273330289061119</v>
      </c>
    </row>
    <row r="203" spans="2:7" x14ac:dyDescent="0.25">
      <c r="B203" s="1">
        <v>197</v>
      </c>
      <c r="C203" s="1">
        <v>6.2205126912943651</v>
      </c>
      <c r="D203" s="1">
        <v>0.75555140170585722</v>
      </c>
      <c r="E203" s="1">
        <v>4.8927275744103111</v>
      </c>
      <c r="F203" s="1">
        <v>13.12535622179278</v>
      </c>
      <c r="G203" s="1">
        <v>4.6300845131967732</v>
      </c>
    </row>
    <row r="204" spans="2:7" x14ac:dyDescent="0.25">
      <c r="B204" s="1">
        <v>198</v>
      </c>
      <c r="C204" s="1">
        <v>6.4979796133055503</v>
      </c>
      <c r="D204" s="1">
        <v>11.829759729575496</v>
      </c>
      <c r="E204" s="1">
        <v>19.67142045786796</v>
      </c>
      <c r="F204" s="1">
        <v>11.144131160616075</v>
      </c>
      <c r="G204" s="1">
        <v>16.531626841386245</v>
      </c>
    </row>
    <row r="205" spans="2:7" x14ac:dyDescent="0.25">
      <c r="B205" s="1">
        <v>199</v>
      </c>
      <c r="C205" s="1">
        <v>-0.19426908529483677</v>
      </c>
      <c r="D205" s="1">
        <v>9.5763681385468971</v>
      </c>
      <c r="E205" s="1">
        <v>6.8463019535675693</v>
      </c>
      <c r="F205" s="1">
        <v>0.30128955787423317</v>
      </c>
      <c r="G205" s="1">
        <v>29.318358287541521</v>
      </c>
    </row>
    <row r="206" spans="2:7" x14ac:dyDescent="0.25">
      <c r="B206" s="1">
        <v>200</v>
      </c>
      <c r="C206" s="1">
        <v>6.2803498884509246</v>
      </c>
      <c r="D206" s="1">
        <v>4.1915453388280683</v>
      </c>
      <c r="E206" s="1">
        <v>-1.0424449309735411E-2</v>
      </c>
      <c r="F206" s="1">
        <v>1.6409303315785313</v>
      </c>
      <c r="G206" s="1">
        <v>1.4708718817081565</v>
      </c>
    </row>
    <row r="207" spans="2:7" x14ac:dyDescent="0.25">
      <c r="B207" s="1">
        <v>201</v>
      </c>
      <c r="C207" s="1">
        <v>0.914655307130668</v>
      </c>
      <c r="D207" s="1">
        <v>2.6975095413069541</v>
      </c>
      <c r="E207" s="1">
        <v>-6.4187211729871265</v>
      </c>
      <c r="F207" s="1">
        <v>4.2217538742211103</v>
      </c>
      <c r="G207" s="1">
        <v>-8.4561811590945872</v>
      </c>
    </row>
    <row r="208" spans="2:7" x14ac:dyDescent="0.25">
      <c r="B208" s="1">
        <v>202</v>
      </c>
      <c r="C208" s="1">
        <v>5.3287728663563065</v>
      </c>
      <c r="D208" s="1">
        <v>1.7481321840875197</v>
      </c>
      <c r="E208" s="1">
        <v>20.148823909421338</v>
      </c>
      <c r="F208" s="1">
        <v>-3.7301482903799927</v>
      </c>
      <c r="G208" s="1">
        <v>18.394781270362603</v>
      </c>
    </row>
    <row r="209" spans="2:7" x14ac:dyDescent="0.25">
      <c r="B209" s="1">
        <v>203</v>
      </c>
      <c r="C209" s="1">
        <v>1.7991752281037523</v>
      </c>
      <c r="D209" s="1">
        <v>2.8166867700044662</v>
      </c>
      <c r="E209" s="1">
        <v>-4.0552418856355059</v>
      </c>
      <c r="F209" s="1">
        <v>-13.841447242450892</v>
      </c>
      <c r="G209" s="1">
        <v>-11.946964420991002</v>
      </c>
    </row>
    <row r="210" spans="2:7" x14ac:dyDescent="0.25">
      <c r="B210" s="1">
        <v>204</v>
      </c>
      <c r="C210" s="1">
        <v>2.1875255593452807</v>
      </c>
      <c r="D210" s="1">
        <v>5.149278954720192E-2</v>
      </c>
      <c r="E210" s="1">
        <v>8.4531120153072479</v>
      </c>
      <c r="F210" s="1">
        <v>-0.12768742863815993</v>
      </c>
      <c r="G210" s="1">
        <v>-13.553900590435482</v>
      </c>
    </row>
    <row r="211" spans="2:7" x14ac:dyDescent="0.25">
      <c r="B211" s="1">
        <v>205</v>
      </c>
      <c r="C211" s="1">
        <v>1.7694406842631403</v>
      </c>
      <c r="D211" s="1">
        <v>4.8801130633003353</v>
      </c>
      <c r="E211" s="1">
        <v>-10.156973087847344</v>
      </c>
      <c r="F211" s="1">
        <v>-1.067352171673021</v>
      </c>
      <c r="G211" s="1">
        <v>-15.103489013047742</v>
      </c>
    </row>
    <row r="212" spans="2:7" x14ac:dyDescent="0.25">
      <c r="B212" s="1">
        <v>206</v>
      </c>
      <c r="C212" s="1">
        <v>5.1844593981306613</v>
      </c>
      <c r="D212" s="1">
        <v>10.666663259086995</v>
      </c>
      <c r="E212" s="1">
        <v>10.293638319545312</v>
      </c>
      <c r="F212" s="1">
        <v>18.139774129571155</v>
      </c>
      <c r="G212" s="1">
        <v>22.661981342284381</v>
      </c>
    </row>
    <row r="213" spans="2:7" x14ac:dyDescent="0.25">
      <c r="B213" s="1">
        <v>207</v>
      </c>
      <c r="C213" s="1">
        <v>3.3104930041138481</v>
      </c>
      <c r="D213" s="1">
        <v>1.9073294254108901</v>
      </c>
      <c r="E213" s="1">
        <v>5.1487356022456474</v>
      </c>
      <c r="F213" s="1">
        <v>3.6447487571804911</v>
      </c>
      <c r="G213" s="1">
        <v>15.462688620234154</v>
      </c>
    </row>
    <row r="214" spans="2:7" x14ac:dyDescent="0.25">
      <c r="B214" s="1">
        <v>208</v>
      </c>
      <c r="C214" s="1">
        <v>5.2000214195145134</v>
      </c>
      <c r="D214" s="1">
        <v>-0.14496512263030489</v>
      </c>
      <c r="E214" s="1">
        <v>15.535691149539046</v>
      </c>
      <c r="F214" s="1">
        <v>7.3506421839189695</v>
      </c>
      <c r="G214" s="1">
        <v>0.77808376190494943</v>
      </c>
    </row>
    <row r="215" spans="2:7" x14ac:dyDescent="0.25">
      <c r="B215" s="1">
        <v>209</v>
      </c>
      <c r="C215" s="1">
        <v>7.075736812815637</v>
      </c>
      <c r="D215" s="1">
        <v>7.6693460677431666</v>
      </c>
      <c r="E215" s="1">
        <v>16.758972801924045</v>
      </c>
      <c r="F215" s="1">
        <v>13.255318182983288</v>
      </c>
      <c r="G215" s="1">
        <v>16.49633842988889</v>
      </c>
    </row>
    <row r="216" spans="2:7" x14ac:dyDescent="0.25">
      <c r="B216" s="1">
        <v>210</v>
      </c>
      <c r="C216" s="1">
        <v>4.5074446506432944</v>
      </c>
      <c r="D216" s="1">
        <v>13.004756081928056</v>
      </c>
      <c r="E216" s="1">
        <v>-6.4331369991907845</v>
      </c>
      <c r="F216" s="1">
        <v>4.8402576124516603</v>
      </c>
      <c r="G216" s="1">
        <v>8.3733814151358903</v>
      </c>
    </row>
    <row r="217" spans="2:7" x14ac:dyDescent="0.25">
      <c r="B217" s="1">
        <v>211</v>
      </c>
      <c r="C217" s="1">
        <v>-6.0193864555777132E-2</v>
      </c>
      <c r="D217" s="1">
        <v>-9.4214023088804062</v>
      </c>
      <c r="E217" s="1">
        <v>-2.9110355636155214</v>
      </c>
      <c r="F217" s="1">
        <v>-5.1955442639183236</v>
      </c>
      <c r="G217" s="1">
        <v>7.3502122923329587</v>
      </c>
    </row>
    <row r="218" spans="2:7" x14ac:dyDescent="0.25">
      <c r="B218" s="1">
        <v>212</v>
      </c>
      <c r="C218" s="1">
        <v>5.3597613400509392</v>
      </c>
      <c r="D218" s="1">
        <v>-1.0213732242032918</v>
      </c>
      <c r="E218" s="1">
        <v>-8.444521733708557</v>
      </c>
      <c r="F218" s="1">
        <v>-0.48775410726261931</v>
      </c>
      <c r="G218" s="1">
        <v>12.806401449743918</v>
      </c>
    </row>
    <row r="219" spans="2:7" x14ac:dyDescent="0.25">
      <c r="B219" s="1">
        <v>213</v>
      </c>
      <c r="C219" s="1">
        <v>2.7929678754311995</v>
      </c>
      <c r="D219" s="1">
        <v>8.0685767652679949</v>
      </c>
      <c r="E219" s="1">
        <v>5.418080604116593</v>
      </c>
      <c r="F219" s="1">
        <v>4.1417711387081138</v>
      </c>
      <c r="G219" s="1">
        <v>-3.3325715171706403</v>
      </c>
    </row>
    <row r="220" spans="2:7" x14ac:dyDescent="0.25">
      <c r="B220" s="1">
        <v>214</v>
      </c>
      <c r="C220" s="1">
        <v>3.3008379382964534</v>
      </c>
      <c r="D220" s="1">
        <v>7.9311922222217737</v>
      </c>
      <c r="E220" s="1">
        <v>11.25759418800885</v>
      </c>
      <c r="F220" s="1">
        <v>8.8707573752320066</v>
      </c>
      <c r="G220" s="1">
        <v>12.614461553374664</v>
      </c>
    </row>
    <row r="221" spans="2:7" x14ac:dyDescent="0.25">
      <c r="B221" s="1">
        <v>215</v>
      </c>
      <c r="C221" s="1">
        <v>0.3801047423474615</v>
      </c>
      <c r="D221" s="1">
        <v>3.4330887186451835</v>
      </c>
      <c r="E221" s="1">
        <v>-4.3677178463946378E-2</v>
      </c>
      <c r="F221" s="1">
        <v>-3.1936503360443149</v>
      </c>
      <c r="G221" s="1">
        <v>3.0451748641816625</v>
      </c>
    </row>
    <row r="222" spans="2:7" x14ac:dyDescent="0.25">
      <c r="B222" s="1">
        <v>216</v>
      </c>
      <c r="C222" s="1">
        <v>1.2920984563491604</v>
      </c>
      <c r="D222" s="1">
        <v>4.6848938526065069</v>
      </c>
      <c r="E222" s="1">
        <v>-1.451431457843922</v>
      </c>
      <c r="F222" s="1">
        <v>17.746557481077581</v>
      </c>
      <c r="G222" s="1">
        <v>15.872984095181081</v>
      </c>
    </row>
    <row r="223" spans="2:7" x14ac:dyDescent="0.25">
      <c r="B223" s="1">
        <v>217</v>
      </c>
      <c r="C223" s="1">
        <v>3.7758851206933239</v>
      </c>
      <c r="D223" s="1">
        <v>0.80034003998041248</v>
      </c>
      <c r="E223" s="1">
        <v>3.9681297735716998</v>
      </c>
      <c r="F223" s="1">
        <v>-0.67817041860809091</v>
      </c>
      <c r="G223" s="1">
        <v>24.609316742223299</v>
      </c>
    </row>
    <row r="224" spans="2:7" x14ac:dyDescent="0.25">
      <c r="B224" s="1">
        <v>218</v>
      </c>
      <c r="C224" s="1">
        <v>5.3239068897283914E-3</v>
      </c>
      <c r="D224" s="1">
        <v>7.8723456861742207</v>
      </c>
      <c r="E224" s="1">
        <v>10.307992170856393</v>
      </c>
      <c r="F224" s="1">
        <v>20.728000222701617</v>
      </c>
      <c r="G224" s="1">
        <v>1.576674154416041</v>
      </c>
    </row>
    <row r="225" spans="2:7" x14ac:dyDescent="0.25">
      <c r="B225" s="1">
        <v>219</v>
      </c>
      <c r="C225" s="1">
        <v>7.4452064951191437</v>
      </c>
      <c r="D225" s="1">
        <v>1.6183763620726761</v>
      </c>
      <c r="E225" s="1">
        <v>11.010422814017272</v>
      </c>
      <c r="F225" s="1">
        <v>-6.8050114955279382</v>
      </c>
      <c r="G225" s="1">
        <v>15.859644627625366</v>
      </c>
    </row>
    <row r="226" spans="2:7" x14ac:dyDescent="0.25">
      <c r="B226" s="1">
        <v>220</v>
      </c>
      <c r="C226" s="1">
        <v>9.5257225230907085</v>
      </c>
      <c r="D226" s="1">
        <v>-1.4758452376767763</v>
      </c>
      <c r="E226" s="1">
        <v>11.229710836667001</v>
      </c>
      <c r="F226" s="1">
        <v>10.479944121202752</v>
      </c>
      <c r="G226" s="1">
        <v>0.44446973792833139</v>
      </c>
    </row>
    <row r="227" spans="2:7" x14ac:dyDescent="0.25">
      <c r="B227" s="1">
        <v>221</v>
      </c>
      <c r="C227" s="1">
        <v>3.4890463809776153</v>
      </c>
      <c r="D227" s="1">
        <v>7.4934869902414709</v>
      </c>
      <c r="E227" s="1">
        <v>-2.1282950155700422</v>
      </c>
      <c r="F227" s="1">
        <v>8.3738977411480242</v>
      </c>
      <c r="G227" s="1">
        <v>-4.1003876720659314</v>
      </c>
    </row>
    <row r="228" spans="2:7" x14ac:dyDescent="0.25">
      <c r="B228" s="1">
        <v>222</v>
      </c>
      <c r="C228" s="1">
        <v>3.1049498359601251</v>
      </c>
      <c r="D228" s="1">
        <v>5.3041694224006912</v>
      </c>
      <c r="E228" s="1">
        <v>18.965948345752334</v>
      </c>
      <c r="F228" s="1">
        <v>3.2837961966224718</v>
      </c>
      <c r="G228" s="1">
        <v>29.5995711528181</v>
      </c>
    </row>
    <row r="229" spans="2:7" x14ac:dyDescent="0.25">
      <c r="B229" s="1">
        <v>223</v>
      </c>
      <c r="C229" s="1">
        <v>2.1282763252009915</v>
      </c>
      <c r="D229" s="1">
        <v>2.6149741584900861</v>
      </c>
      <c r="E229" s="1">
        <v>3.7799279830840424</v>
      </c>
      <c r="F229" s="1">
        <v>3.7863241316001428</v>
      </c>
      <c r="G229" s="1">
        <v>-8.0345339802424096</v>
      </c>
    </row>
    <row r="230" spans="2:7" x14ac:dyDescent="0.25">
      <c r="B230" s="1">
        <v>224</v>
      </c>
      <c r="C230" s="1">
        <v>0.54557551693324857</v>
      </c>
      <c r="D230" s="1">
        <v>2.1000014827205509</v>
      </c>
      <c r="E230" s="1">
        <v>5.5163853490063683</v>
      </c>
      <c r="F230" s="1">
        <v>6.7069675132126036</v>
      </c>
      <c r="G230" s="1">
        <v>36.546382219352466</v>
      </c>
    </row>
    <row r="231" spans="2:7" x14ac:dyDescent="0.25">
      <c r="B231" s="1">
        <v>225</v>
      </c>
      <c r="C231" s="1">
        <v>4.2976512439566417</v>
      </c>
      <c r="D231" s="1">
        <v>6.4809718857669845</v>
      </c>
      <c r="E231" s="1">
        <v>17.897823630282961</v>
      </c>
      <c r="F231" s="1">
        <v>-2.6352787973290841</v>
      </c>
      <c r="G231" s="1">
        <v>0.65183171557484287</v>
      </c>
    </row>
    <row r="232" spans="2:7" x14ac:dyDescent="0.25">
      <c r="B232" s="1">
        <v>226</v>
      </c>
      <c r="C232" s="1">
        <v>3.6986150257524071</v>
      </c>
      <c r="D232" s="1">
        <v>6.9761134710274568</v>
      </c>
      <c r="E232" s="1">
        <v>-2.2324160722728319</v>
      </c>
      <c r="F232" s="1">
        <v>4.0564385712860576</v>
      </c>
      <c r="G232" s="1">
        <v>7.4883133931942618</v>
      </c>
    </row>
    <row r="233" spans="2:7" x14ac:dyDescent="0.25">
      <c r="B233" s="1">
        <v>227</v>
      </c>
      <c r="C233" s="1">
        <v>6.9237394060389761</v>
      </c>
      <c r="D233" s="1">
        <v>8.5537895475954233</v>
      </c>
      <c r="E233" s="1">
        <v>-6.0868917715608442</v>
      </c>
      <c r="F233" s="1">
        <v>20.086874062858559</v>
      </c>
      <c r="G233" s="1">
        <v>4.1948664489795915</v>
      </c>
    </row>
    <row r="234" spans="2:7" x14ac:dyDescent="0.25">
      <c r="B234" s="1">
        <v>228</v>
      </c>
      <c r="C234" s="1">
        <v>1.8847894244128987</v>
      </c>
      <c r="D234" s="1">
        <v>11.642512376464547</v>
      </c>
      <c r="E234" s="1">
        <v>13.34230734519314</v>
      </c>
      <c r="F234" s="1">
        <v>11.313853084241822</v>
      </c>
      <c r="G234" s="1">
        <v>-7.4080557211108733</v>
      </c>
    </row>
    <row r="235" spans="2:7" x14ac:dyDescent="0.25">
      <c r="B235" s="1">
        <v>229</v>
      </c>
      <c r="C235" s="1">
        <v>9.584800736115513</v>
      </c>
      <c r="D235" s="1">
        <v>3.9669959391873748</v>
      </c>
      <c r="E235" s="1">
        <v>15.078934895758755</v>
      </c>
      <c r="F235" s="1">
        <v>1.7525349148796514</v>
      </c>
      <c r="G235" s="1">
        <v>23.209867031887267</v>
      </c>
    </row>
    <row r="236" spans="2:7" x14ac:dyDescent="0.25">
      <c r="B236" s="1">
        <v>230</v>
      </c>
      <c r="C236" s="1">
        <v>4.1927224087209476</v>
      </c>
      <c r="D236" s="1">
        <v>3.2037402537536841</v>
      </c>
      <c r="E236" s="1">
        <v>-2.3438265560866025</v>
      </c>
      <c r="F236" s="1">
        <v>-3.9067551536289749</v>
      </c>
      <c r="G236" s="1">
        <v>10.241673521268508</v>
      </c>
    </row>
    <row r="237" spans="2:7" x14ac:dyDescent="0.25">
      <c r="B237" s="1">
        <v>231</v>
      </c>
      <c r="C237" s="1">
        <v>0.91662222510649416</v>
      </c>
      <c r="D237" s="1">
        <v>3.7919886695647835</v>
      </c>
      <c r="E237" s="1">
        <v>5.0682737564146016</v>
      </c>
      <c r="F237" s="1">
        <v>-0.62882590171409958</v>
      </c>
      <c r="G237" s="1">
        <v>12.212570908996714</v>
      </c>
    </row>
    <row r="238" spans="2:7" x14ac:dyDescent="0.25">
      <c r="B238" s="1">
        <v>232</v>
      </c>
      <c r="C238" s="1">
        <v>5.7917708176970155</v>
      </c>
      <c r="D238" s="1">
        <v>7.254404087867802</v>
      </c>
      <c r="E238" s="1">
        <v>-0.94216266237533164</v>
      </c>
      <c r="F238" s="1">
        <v>2.0507635974926237</v>
      </c>
      <c r="G238" s="1">
        <v>-8.8986035447923726</v>
      </c>
    </row>
    <row r="239" spans="2:7" x14ac:dyDescent="0.25">
      <c r="B239" s="1">
        <v>233</v>
      </c>
      <c r="C239" s="1">
        <v>2.065995863716795</v>
      </c>
      <c r="D239" s="1">
        <v>4.0387802280307143</v>
      </c>
      <c r="E239" s="1">
        <v>-8.4603068887902815</v>
      </c>
      <c r="F239" s="1">
        <v>0.60546105313697174</v>
      </c>
      <c r="G239" s="1">
        <v>20.648014684949182</v>
      </c>
    </row>
    <row r="240" spans="2:7" x14ac:dyDescent="0.25">
      <c r="B240" s="1">
        <v>234</v>
      </c>
      <c r="C240" s="1">
        <v>3.1264392513033723</v>
      </c>
      <c r="D240" s="1">
        <v>6.7929892846305933</v>
      </c>
      <c r="E240" s="1">
        <v>12.297204575470364</v>
      </c>
      <c r="F240" s="1">
        <v>7.1453382935681038</v>
      </c>
      <c r="G240" s="1">
        <v>20.65852870315506</v>
      </c>
    </row>
    <row r="241" spans="2:7" x14ac:dyDescent="0.25">
      <c r="B241" s="1">
        <v>235</v>
      </c>
      <c r="C241" s="1">
        <v>3.1118896354789038</v>
      </c>
      <c r="D241" s="1">
        <v>3.4774155687919581</v>
      </c>
      <c r="E241" s="1">
        <v>-17.107281600200146</v>
      </c>
      <c r="F241" s="1">
        <v>-3.8925147421329465</v>
      </c>
      <c r="G241" s="1">
        <v>1.1001223237063962</v>
      </c>
    </row>
    <row r="242" spans="2:7" x14ac:dyDescent="0.25">
      <c r="B242" s="1">
        <v>236</v>
      </c>
      <c r="C242" s="1">
        <v>3.083809181273224</v>
      </c>
      <c r="D242" s="1">
        <v>-4.4645301081594866</v>
      </c>
      <c r="E242" s="1">
        <v>5.7007305962837904</v>
      </c>
      <c r="F242" s="1">
        <v>-8.2046775520986444</v>
      </c>
      <c r="G242" s="1">
        <v>2.7968092642722797</v>
      </c>
    </row>
    <row r="243" spans="2:7" x14ac:dyDescent="0.25">
      <c r="B243" s="1">
        <v>237</v>
      </c>
      <c r="C243" s="1">
        <v>-0.52281261302133109</v>
      </c>
      <c r="D243" s="1">
        <v>13.150752010347773</v>
      </c>
      <c r="E243" s="1">
        <v>7.5792879064446268</v>
      </c>
      <c r="F243" s="1">
        <v>2.263403799675245</v>
      </c>
      <c r="G243" s="1">
        <v>1.4903559699134121</v>
      </c>
    </row>
    <row r="244" spans="2:7" x14ac:dyDescent="0.25">
      <c r="B244" s="1">
        <v>238</v>
      </c>
      <c r="C244" s="1">
        <v>0.80493610373162783</v>
      </c>
      <c r="D244" s="1">
        <v>-1.3425045195549399</v>
      </c>
      <c r="E244" s="1">
        <v>6.2606864693270152</v>
      </c>
      <c r="F244" s="1">
        <v>8.9870737670949268</v>
      </c>
      <c r="G244" s="1">
        <v>15.727008837935575</v>
      </c>
    </row>
    <row r="245" spans="2:7" x14ac:dyDescent="0.25">
      <c r="B245" s="1">
        <v>239</v>
      </c>
      <c r="C245" s="1">
        <v>2.7877527456839402</v>
      </c>
      <c r="D245" s="1">
        <v>-0.65114068296134975</v>
      </c>
      <c r="E245" s="1">
        <v>-2.3991237521950617</v>
      </c>
      <c r="F245" s="1">
        <v>-0.60889575877381574</v>
      </c>
      <c r="G245" s="1">
        <v>12.193593353751753</v>
      </c>
    </row>
    <row r="246" spans="2:7" x14ac:dyDescent="0.25">
      <c r="B246" s="1">
        <v>240</v>
      </c>
      <c r="C246" s="1">
        <v>5.1835728348686017</v>
      </c>
      <c r="D246" s="1">
        <v>1.545443276770738</v>
      </c>
      <c r="E246" s="1">
        <v>7.9600267463093903</v>
      </c>
      <c r="F246" s="1">
        <v>-9.0354200649214835</v>
      </c>
      <c r="G246" s="1">
        <v>-16.252574482266489</v>
      </c>
    </row>
    <row r="247" spans="2:7" x14ac:dyDescent="0.25">
      <c r="B247" s="1">
        <v>241</v>
      </c>
      <c r="C247" s="1">
        <v>4.0130307536187333</v>
      </c>
      <c r="D247" s="1">
        <v>-2.1756969585336683</v>
      </c>
      <c r="E247" s="1">
        <v>2.4855750913038563</v>
      </c>
      <c r="F247" s="1">
        <v>19.089105150132362</v>
      </c>
      <c r="G247" s="1">
        <v>-19.841905024902182</v>
      </c>
    </row>
    <row r="248" spans="2:7" x14ac:dyDescent="0.25">
      <c r="B248" s="1">
        <v>242</v>
      </c>
      <c r="C248" s="1">
        <v>2.5719667005103442</v>
      </c>
      <c r="D248" s="1">
        <v>-4.0087607060780748</v>
      </c>
      <c r="E248" s="1">
        <v>-1.8241858815013512</v>
      </c>
      <c r="F248" s="1">
        <v>4.0062779521292704</v>
      </c>
      <c r="G248" s="1">
        <v>-8.9796277342499078</v>
      </c>
    </row>
    <row r="249" spans="2:7" x14ac:dyDescent="0.25">
      <c r="B249" s="1">
        <v>243</v>
      </c>
      <c r="C249" s="1">
        <v>4.9174067749170707</v>
      </c>
      <c r="D249" s="1">
        <v>9.9611415102346861</v>
      </c>
      <c r="E249" s="1">
        <v>21.122695546184787</v>
      </c>
      <c r="F249" s="1">
        <v>14.229448857747574</v>
      </c>
      <c r="G249" s="1">
        <v>7.2840140083577865</v>
      </c>
    </row>
    <row r="250" spans="2:7" x14ac:dyDescent="0.25">
      <c r="B250" s="1">
        <v>244</v>
      </c>
      <c r="C250" s="1">
        <v>4.1215996285257157</v>
      </c>
      <c r="D250" s="1">
        <v>5.3077166490921899</v>
      </c>
      <c r="E250" s="1">
        <v>2.7608028228195374</v>
      </c>
      <c r="F250" s="1">
        <v>10.529247293318315</v>
      </c>
      <c r="G250" s="1">
        <v>-0.70354850784431133</v>
      </c>
    </row>
    <row r="251" spans="2:7" x14ac:dyDescent="0.25">
      <c r="B251" s="1">
        <v>245</v>
      </c>
      <c r="C251" s="1">
        <v>1.3159064521874111</v>
      </c>
      <c r="D251" s="1">
        <v>2.4685137049676689</v>
      </c>
      <c r="E251" s="1">
        <v>11.768513308070919</v>
      </c>
      <c r="F251" s="1">
        <v>0.64669878844987849</v>
      </c>
      <c r="G251" s="1">
        <v>5.3670694956050289</v>
      </c>
    </row>
    <row r="252" spans="2:7" x14ac:dyDescent="0.25">
      <c r="B252" s="1">
        <v>246</v>
      </c>
      <c r="C252" s="1">
        <v>4.15577607297472</v>
      </c>
      <c r="D252" s="1">
        <v>8.0057355135786903</v>
      </c>
      <c r="E252" s="1">
        <v>15.819814621957102</v>
      </c>
      <c r="F252" s="1">
        <v>19.154138671465756</v>
      </c>
      <c r="G252" s="1">
        <v>21.891596069012611</v>
      </c>
    </row>
    <row r="253" spans="2:7" x14ac:dyDescent="0.25">
      <c r="B253" s="1">
        <v>247</v>
      </c>
      <c r="C253" s="1">
        <v>4.9404431676464249</v>
      </c>
      <c r="D253" s="1">
        <v>7.0178037016283898</v>
      </c>
      <c r="E253" s="1">
        <v>6.3641694084648206</v>
      </c>
      <c r="F253" s="1">
        <v>11.210403056120576</v>
      </c>
      <c r="G253" s="1">
        <v>11.859037754592416</v>
      </c>
    </row>
    <row r="254" spans="2:7" x14ac:dyDescent="0.25">
      <c r="B254" s="1">
        <v>248</v>
      </c>
      <c r="C254" s="1">
        <v>1.5528313550383759</v>
      </c>
      <c r="D254" s="1">
        <v>0.49136318386215466</v>
      </c>
      <c r="E254" s="1">
        <v>1.2930606575641457</v>
      </c>
      <c r="F254" s="1">
        <v>-5.725038271917696</v>
      </c>
      <c r="G254" s="1">
        <v>-8.1509503743418339</v>
      </c>
    </row>
    <row r="255" spans="2:7" x14ac:dyDescent="0.25">
      <c r="B255" s="1">
        <v>249</v>
      </c>
      <c r="C255" s="1">
        <v>-0.54822253511716301</v>
      </c>
      <c r="D255" s="1">
        <v>1.1894582385504169</v>
      </c>
      <c r="E255" s="1">
        <v>-1.0194492305276106</v>
      </c>
      <c r="F255" s="1">
        <v>0.37898822505347157</v>
      </c>
      <c r="G255" s="1">
        <v>0.38237788432398101</v>
      </c>
    </row>
    <row r="256" spans="2:7" x14ac:dyDescent="0.25">
      <c r="B256" s="1">
        <v>250</v>
      </c>
      <c r="C256" s="1">
        <v>8.0614299950039694</v>
      </c>
      <c r="D256" s="1">
        <v>1.8058509381408425</v>
      </c>
      <c r="E256" s="1">
        <v>14.689349038372358</v>
      </c>
      <c r="F256" s="1">
        <v>18.806035174471138</v>
      </c>
      <c r="G256" s="1">
        <v>19.863061878525897</v>
      </c>
    </row>
    <row r="257" spans="2:7" x14ac:dyDescent="0.25">
      <c r="B257" s="1">
        <v>251</v>
      </c>
      <c r="C257" s="1">
        <v>3.6554488956864333</v>
      </c>
      <c r="D257" s="1">
        <v>14.632892189933527</v>
      </c>
      <c r="E257" s="1">
        <v>-0.60807249962420862</v>
      </c>
      <c r="F257" s="1">
        <v>3.8571953403490928</v>
      </c>
      <c r="G257" s="1">
        <v>-6.5607103981682124</v>
      </c>
    </row>
    <row r="258" spans="2:7" x14ac:dyDescent="0.25">
      <c r="B258" s="1">
        <v>252</v>
      </c>
      <c r="C258" s="1">
        <v>11.54501509515303</v>
      </c>
      <c r="D258" s="1">
        <v>2.8966583240473387</v>
      </c>
      <c r="E258" s="1">
        <v>7.8351064964366772</v>
      </c>
      <c r="F258" s="1">
        <v>12.837844739008073</v>
      </c>
      <c r="G258" s="1">
        <v>16.991384109452103</v>
      </c>
    </row>
    <row r="259" spans="2:7" x14ac:dyDescent="0.25">
      <c r="B259" s="1">
        <v>253</v>
      </c>
      <c r="C259" s="1">
        <v>-0.62099370312137392</v>
      </c>
      <c r="D259" s="1">
        <v>-4.4489241636292798</v>
      </c>
      <c r="E259" s="1">
        <v>1.6200763856920071</v>
      </c>
      <c r="F259" s="1">
        <v>3.4037558466029365</v>
      </c>
      <c r="G259" s="1">
        <v>8.1821494894229296</v>
      </c>
    </row>
    <row r="260" spans="2:7" x14ac:dyDescent="0.25">
      <c r="B260" s="1">
        <v>254</v>
      </c>
      <c r="C260" s="1">
        <v>4.7714570870740234</v>
      </c>
      <c r="D260" s="1">
        <v>2.7988218468838313</v>
      </c>
      <c r="E260" s="1">
        <v>6.9231434522325568</v>
      </c>
      <c r="F260" s="1">
        <v>6.8929461037025206</v>
      </c>
      <c r="G260" s="1">
        <v>22.383308578434452</v>
      </c>
    </row>
    <row r="261" spans="2:7" x14ac:dyDescent="0.25">
      <c r="B261" s="1">
        <v>255</v>
      </c>
      <c r="C261" s="1">
        <v>2.0995574329728188</v>
      </c>
      <c r="D261" s="1">
        <v>-0.18625343891797552</v>
      </c>
      <c r="E261" s="1">
        <v>1.4394714144235645</v>
      </c>
      <c r="F261" s="1">
        <v>3.3135263279052736</v>
      </c>
      <c r="G261" s="1">
        <v>-2.1864005733247209</v>
      </c>
    </row>
    <row r="262" spans="2:7" x14ac:dyDescent="0.25">
      <c r="B262" s="1">
        <v>256</v>
      </c>
      <c r="C262" s="1">
        <v>2.690013329458012</v>
      </c>
      <c r="D262" s="1">
        <v>8.2833499565829083</v>
      </c>
      <c r="E262" s="1">
        <v>5.6195430659926684</v>
      </c>
      <c r="F262" s="1">
        <v>4.7318320056684628</v>
      </c>
      <c r="G262" s="1">
        <v>12.618255860692623</v>
      </c>
    </row>
    <row r="263" spans="2:7" x14ac:dyDescent="0.25">
      <c r="B263" s="1">
        <v>257</v>
      </c>
      <c r="C263" s="1">
        <v>8.1744933825522601</v>
      </c>
      <c r="D263" s="1">
        <v>3.1038614021783455</v>
      </c>
      <c r="E263" s="1">
        <v>8.6521882406145281</v>
      </c>
      <c r="F263" s="1">
        <v>8.3071775133620882</v>
      </c>
      <c r="G263" s="1">
        <v>-2.6873993339239952</v>
      </c>
    </row>
    <row r="264" spans="2:7" x14ac:dyDescent="0.25">
      <c r="B264" s="1">
        <v>258</v>
      </c>
      <c r="C264" s="1">
        <v>8.0762382265699397</v>
      </c>
      <c r="D264" s="1">
        <v>7.3230991190717569</v>
      </c>
      <c r="E264" s="1">
        <v>11.517947926303858</v>
      </c>
      <c r="F264" s="1">
        <v>0.56019467786391874</v>
      </c>
      <c r="G264" s="1">
        <v>11.786480796562605</v>
      </c>
    </row>
    <row r="265" spans="2:7" x14ac:dyDescent="0.25">
      <c r="B265" s="1">
        <v>259</v>
      </c>
      <c r="C265" s="1">
        <v>-0.27328521920648807</v>
      </c>
      <c r="D265" s="1">
        <v>-4.5228125545997289</v>
      </c>
      <c r="E265" s="1">
        <v>-1.3757134200846861</v>
      </c>
      <c r="F265" s="1">
        <v>-7.9050302036189688</v>
      </c>
      <c r="G265" s="1">
        <v>0.41578117169653017</v>
      </c>
    </row>
    <row r="266" spans="2:7" x14ac:dyDescent="0.25">
      <c r="B266" s="1">
        <v>260</v>
      </c>
      <c r="C266" s="1">
        <v>2.366449150361507</v>
      </c>
      <c r="D266" s="1">
        <v>-0.90474914445037158</v>
      </c>
      <c r="E266" s="1">
        <v>9.2567046933330044</v>
      </c>
      <c r="F266" s="1">
        <v>17.203541754850136</v>
      </c>
      <c r="G266" s="1">
        <v>18.584460311614418</v>
      </c>
    </row>
    <row r="267" spans="2:7" x14ac:dyDescent="0.25">
      <c r="B267" s="1">
        <v>261</v>
      </c>
      <c r="C267" s="1">
        <v>3.2993029377501459</v>
      </c>
      <c r="D267" s="1">
        <v>5.2897772540636696</v>
      </c>
      <c r="E267" s="1">
        <v>-3.6145817605458626</v>
      </c>
      <c r="F267" s="1">
        <v>22.464187627038058</v>
      </c>
      <c r="G267" s="1">
        <v>-11.133049518654788</v>
      </c>
    </row>
    <row r="268" spans="2:7" x14ac:dyDescent="0.25">
      <c r="B268" s="1">
        <v>262</v>
      </c>
      <c r="C268" s="1">
        <v>0.98345941389081526</v>
      </c>
      <c r="D268" s="1">
        <v>7.601541212343677</v>
      </c>
      <c r="E268" s="1">
        <v>-6.0512389294107072</v>
      </c>
      <c r="F268" s="1">
        <v>22.264613074293646</v>
      </c>
      <c r="G268" s="1">
        <v>4.806087542200042</v>
      </c>
    </row>
    <row r="269" spans="2:7" x14ac:dyDescent="0.25">
      <c r="B269" s="1">
        <v>263</v>
      </c>
      <c r="C269" s="1">
        <v>4.3814584475314398</v>
      </c>
      <c r="D269" s="1">
        <v>3.4046261146896346</v>
      </c>
      <c r="E269" s="1">
        <v>0.31002329478422092</v>
      </c>
      <c r="F269" s="1">
        <v>0.5375659348114078</v>
      </c>
      <c r="G269" s="1">
        <v>15.920247149049896</v>
      </c>
    </row>
    <row r="270" spans="2:7" x14ac:dyDescent="0.25">
      <c r="B270" s="1">
        <v>264</v>
      </c>
      <c r="C270" s="1">
        <v>6.0972344465667101</v>
      </c>
      <c r="D270" s="1">
        <v>-0.51797752461891899</v>
      </c>
      <c r="E270" s="1">
        <v>15.449871241585582</v>
      </c>
      <c r="F270" s="1">
        <v>3.6143184421295769</v>
      </c>
      <c r="G270" s="1">
        <v>-7.7001244875999424</v>
      </c>
    </row>
    <row r="271" spans="2:7" x14ac:dyDescent="0.25">
      <c r="B271" s="1">
        <v>265</v>
      </c>
      <c r="C271" s="1">
        <v>2.4751948924367904</v>
      </c>
      <c r="D271" s="1">
        <v>1.8428303368382621</v>
      </c>
      <c r="E271" s="1">
        <v>14.077340875625705</v>
      </c>
      <c r="F271" s="1">
        <v>2.0774414197523523</v>
      </c>
      <c r="G271" s="1">
        <v>4.6408782045483346</v>
      </c>
    </row>
    <row r="272" spans="2:7" x14ac:dyDescent="0.25">
      <c r="B272" s="1">
        <v>266</v>
      </c>
      <c r="C272" s="1">
        <v>5.2173766860881789</v>
      </c>
      <c r="D272" s="1">
        <v>5.0436025569377243</v>
      </c>
      <c r="E272" s="1">
        <v>13.407445927771134</v>
      </c>
      <c r="F272" s="1">
        <v>12.400256323652563</v>
      </c>
      <c r="G272" s="1">
        <v>-10.49673223176954</v>
      </c>
    </row>
    <row r="273" spans="2:7" x14ac:dyDescent="0.25">
      <c r="B273" s="1">
        <v>267</v>
      </c>
      <c r="C273" s="1">
        <v>3.5283891912584009</v>
      </c>
      <c r="D273" s="1">
        <v>12.612359040927211</v>
      </c>
      <c r="E273" s="1">
        <v>6.6967625625240119</v>
      </c>
      <c r="F273" s="1">
        <v>5.1097898019975654</v>
      </c>
      <c r="G273" s="1">
        <v>-4.0086787706969069</v>
      </c>
    </row>
    <row r="274" spans="2:7" x14ac:dyDescent="0.25">
      <c r="B274" s="1">
        <v>268</v>
      </c>
      <c r="C274" s="1">
        <v>5.8485639666913869</v>
      </c>
      <c r="D274" s="1">
        <v>1.5234904287147781</v>
      </c>
      <c r="E274" s="1">
        <v>18.317163841572633</v>
      </c>
      <c r="F274" s="1">
        <v>15.786215096972807</v>
      </c>
      <c r="G274" s="1">
        <v>-4.3271539828311614</v>
      </c>
    </row>
    <row r="275" spans="2:7" x14ac:dyDescent="0.25">
      <c r="B275" s="1">
        <v>269</v>
      </c>
      <c r="C275" s="1">
        <v>3.4293855515256433</v>
      </c>
      <c r="D275" s="1">
        <v>-4.9321911946867747</v>
      </c>
      <c r="E275" s="1">
        <v>8.404137116522584</v>
      </c>
      <c r="F275" s="1">
        <v>8.8453240323971709</v>
      </c>
      <c r="G275" s="1">
        <v>-6.0244351373973579</v>
      </c>
    </row>
    <row r="276" spans="2:7" x14ac:dyDescent="0.25">
      <c r="B276" s="1">
        <v>270</v>
      </c>
      <c r="C276" s="1">
        <v>7.8292794850585441</v>
      </c>
      <c r="D276" s="1">
        <v>8.3593818532052193</v>
      </c>
      <c r="E276" s="1">
        <v>8.667902862753694</v>
      </c>
      <c r="F276" s="1">
        <v>11.816909552049927</v>
      </c>
      <c r="G276" s="1">
        <v>35.243323509738637</v>
      </c>
    </row>
    <row r="277" spans="2:7" x14ac:dyDescent="0.25">
      <c r="B277" s="1">
        <v>271</v>
      </c>
      <c r="C277" s="1">
        <v>7.8546454050340175</v>
      </c>
      <c r="D277" s="1">
        <v>4.2769929988931592</v>
      </c>
      <c r="E277" s="1">
        <v>-1.6953952885707795</v>
      </c>
      <c r="F277" s="1">
        <v>13.420544669825913</v>
      </c>
      <c r="G277" s="1">
        <v>-6.2213340596409905</v>
      </c>
    </row>
    <row r="278" spans="2:7" x14ac:dyDescent="0.25">
      <c r="B278" s="1">
        <v>272</v>
      </c>
      <c r="C278" s="1">
        <v>4.5003215210248966</v>
      </c>
      <c r="D278" s="1">
        <v>3.6957790868579021</v>
      </c>
      <c r="E278" s="1">
        <v>3.3029096825527104</v>
      </c>
      <c r="F278" s="1">
        <v>-4.4758497903829939</v>
      </c>
      <c r="G278" s="1">
        <v>-13.944324974128818</v>
      </c>
    </row>
    <row r="279" spans="2:7" x14ac:dyDescent="0.25">
      <c r="B279" s="1">
        <v>273</v>
      </c>
      <c r="C279" s="1">
        <v>9.9999721165841606</v>
      </c>
      <c r="D279" s="1">
        <v>5.4136131465002206</v>
      </c>
      <c r="E279" s="1">
        <v>16.627216803136147</v>
      </c>
      <c r="F279" s="1">
        <v>16.421511943088294</v>
      </c>
      <c r="G279" s="1">
        <v>7.7486877708121211</v>
      </c>
    </row>
    <row r="280" spans="2:7" x14ac:dyDescent="0.25">
      <c r="B280" s="1">
        <v>274</v>
      </c>
      <c r="C280" s="1">
        <v>4.1710340867014386</v>
      </c>
      <c r="D280" s="1">
        <v>-2.6541704735893568</v>
      </c>
      <c r="E280" s="1">
        <v>6.5160916655170462</v>
      </c>
      <c r="F280" s="1">
        <v>8.0916051894030421</v>
      </c>
      <c r="G280" s="1">
        <v>-10.760349444997297</v>
      </c>
    </row>
    <row r="281" spans="2:7" x14ac:dyDescent="0.25">
      <c r="B281" s="1">
        <v>275</v>
      </c>
      <c r="C281" s="1">
        <v>-0.3026140620387503</v>
      </c>
      <c r="D281" s="1">
        <v>10.474174323092496</v>
      </c>
      <c r="E281" s="1">
        <v>0.13690884152706501</v>
      </c>
      <c r="F281" s="1">
        <v>21.358910210727203</v>
      </c>
      <c r="G281" s="1">
        <v>19.960846407912545</v>
      </c>
    </row>
    <row r="282" spans="2:7" x14ac:dyDescent="0.25">
      <c r="B282" s="1">
        <v>276</v>
      </c>
      <c r="C282" s="1">
        <v>1.3751447392311178</v>
      </c>
      <c r="D282" s="1">
        <v>-7.7799420565409072</v>
      </c>
      <c r="E282" s="1">
        <v>9.7823903308807587</v>
      </c>
      <c r="F282" s="1">
        <v>-1.8800402530257245</v>
      </c>
      <c r="G282" s="1">
        <v>6.4776577874768577</v>
      </c>
    </row>
    <row r="283" spans="2:7" x14ac:dyDescent="0.25">
      <c r="B283" s="1">
        <v>277</v>
      </c>
      <c r="C283" s="1">
        <v>-0.40721445223315911</v>
      </c>
      <c r="D283" s="1">
        <v>-2.7073808134329735</v>
      </c>
      <c r="E283" s="1">
        <v>4.895210608390288</v>
      </c>
      <c r="F283" s="1">
        <v>0.49893728226211548</v>
      </c>
      <c r="G283" s="1">
        <v>8.6407152107638296</v>
      </c>
    </row>
    <row r="284" spans="2:7" x14ac:dyDescent="0.25">
      <c r="B284" s="1">
        <v>278</v>
      </c>
      <c r="C284" s="1">
        <v>-1.3831078256634126</v>
      </c>
      <c r="D284" s="1">
        <v>5.6500404510315212</v>
      </c>
      <c r="E284" s="1">
        <v>-0.87020902955572565</v>
      </c>
      <c r="F284" s="1">
        <v>-12.173245486380559</v>
      </c>
      <c r="G284" s="1">
        <v>-0.34467840639205038</v>
      </c>
    </row>
    <row r="285" spans="2:7" x14ac:dyDescent="0.25">
      <c r="B285" s="1">
        <v>279</v>
      </c>
      <c r="C285" s="1">
        <v>1.0670918613772176</v>
      </c>
      <c r="D285" s="1">
        <v>3.288766583661376</v>
      </c>
      <c r="E285" s="1">
        <v>5.3715069347769067</v>
      </c>
      <c r="F285" s="1">
        <v>10.125990938207805</v>
      </c>
      <c r="G285" s="1">
        <v>21.970484679233245</v>
      </c>
    </row>
    <row r="286" spans="2:7" x14ac:dyDescent="0.25">
      <c r="B286" s="1">
        <v>280</v>
      </c>
      <c r="C286" s="1">
        <v>-0.78995634745282661</v>
      </c>
      <c r="D286" s="1">
        <v>-4.0112832266959639</v>
      </c>
      <c r="E286" s="1">
        <v>-0.78911881511467408</v>
      </c>
      <c r="F286" s="1">
        <v>13.757235733141977</v>
      </c>
      <c r="G286" s="1">
        <v>-13.108064058091381</v>
      </c>
    </row>
    <row r="287" spans="2:7" x14ac:dyDescent="0.25">
      <c r="B287" s="1">
        <v>281</v>
      </c>
      <c r="C287" s="1">
        <v>-0.97200309391479811</v>
      </c>
      <c r="D287" s="1">
        <v>3.8715843731273849</v>
      </c>
      <c r="E287" s="1">
        <v>-5.9256956498009261</v>
      </c>
      <c r="F287" s="1">
        <v>-4.4684471767655225</v>
      </c>
      <c r="G287" s="1">
        <v>9.1608601774951151</v>
      </c>
    </row>
    <row r="288" spans="2:7" x14ac:dyDescent="0.25">
      <c r="B288" s="1">
        <v>282</v>
      </c>
      <c r="C288" s="1">
        <v>8.2415545655709046</v>
      </c>
      <c r="D288" s="1">
        <v>2.0251376163725947</v>
      </c>
      <c r="E288" s="1">
        <v>3.3311066242785503</v>
      </c>
      <c r="F288" s="1">
        <v>4.3516372137436798</v>
      </c>
      <c r="G288" s="1">
        <v>0.35196770396770027</v>
      </c>
    </row>
    <row r="289" spans="2:7" x14ac:dyDescent="0.25">
      <c r="B289" s="1">
        <v>283</v>
      </c>
      <c r="C289" s="1">
        <v>-2.5478303548396752</v>
      </c>
      <c r="D289" s="1">
        <v>-2.0384350792724373</v>
      </c>
      <c r="E289" s="1">
        <v>-1.6406190972769263</v>
      </c>
      <c r="F289" s="1">
        <v>0.86623307647552483</v>
      </c>
      <c r="G289" s="1">
        <v>1.9671023839290196</v>
      </c>
    </row>
    <row r="290" spans="2:7" x14ac:dyDescent="0.25">
      <c r="B290" s="1">
        <v>284</v>
      </c>
      <c r="C290" s="1">
        <v>3.663323294990299</v>
      </c>
      <c r="D290" s="1">
        <v>-8.9502686444644546</v>
      </c>
      <c r="E290" s="1">
        <v>10.362080613845988</v>
      </c>
      <c r="F290" s="1">
        <v>16.052082365852431</v>
      </c>
      <c r="G290" s="1">
        <v>-1.486469983036093</v>
      </c>
    </row>
    <row r="291" spans="2:7" x14ac:dyDescent="0.25">
      <c r="B291" s="1">
        <v>285</v>
      </c>
      <c r="C291" s="1">
        <v>1.9595468556479991</v>
      </c>
      <c r="D291" s="1">
        <v>4.9555733200423031</v>
      </c>
      <c r="E291" s="1">
        <v>-1.1049637670116501</v>
      </c>
      <c r="F291" s="1">
        <v>-3.5726555865058955</v>
      </c>
      <c r="G291" s="1">
        <v>4.3919158757244556</v>
      </c>
    </row>
    <row r="292" spans="2:7" x14ac:dyDescent="0.25">
      <c r="B292" s="1">
        <v>286</v>
      </c>
      <c r="C292" s="1">
        <v>1.4249840928082902</v>
      </c>
      <c r="D292" s="1">
        <v>0.51577686934261813</v>
      </c>
      <c r="E292" s="1">
        <v>6.1323223244120557</v>
      </c>
      <c r="F292" s="1">
        <v>18.684393833555447</v>
      </c>
      <c r="G292" s="1">
        <v>17.062140976395877</v>
      </c>
    </row>
    <row r="293" spans="2:7" x14ac:dyDescent="0.25">
      <c r="B293" s="1">
        <v>287</v>
      </c>
      <c r="C293" s="1">
        <v>4.2277701611584053</v>
      </c>
      <c r="D293" s="1">
        <v>-3.2912594517861762</v>
      </c>
      <c r="E293" s="1">
        <v>3.5026874121457321</v>
      </c>
      <c r="F293" s="1">
        <v>13.827725898559367</v>
      </c>
      <c r="G293" s="1">
        <v>4.2676408632004881</v>
      </c>
    </row>
    <row r="294" spans="2:7" x14ac:dyDescent="0.25">
      <c r="B294" s="1">
        <v>288</v>
      </c>
      <c r="C294" s="1">
        <v>7.1470578401246394</v>
      </c>
      <c r="D294" s="1">
        <v>6.4975636795443927</v>
      </c>
      <c r="E294" s="1">
        <v>-8.4580816379001114</v>
      </c>
      <c r="F294" s="1">
        <v>3.3828822843749631</v>
      </c>
      <c r="G294" s="1">
        <v>-13.241540335475058</v>
      </c>
    </row>
    <row r="295" spans="2:7" x14ac:dyDescent="0.25">
      <c r="B295" s="1">
        <v>289</v>
      </c>
      <c r="C295" s="1">
        <v>2.273926467173391</v>
      </c>
      <c r="D295" s="1">
        <v>2.1790308418495634</v>
      </c>
      <c r="E295" s="1">
        <v>8.4643451730157793</v>
      </c>
      <c r="F295" s="1">
        <v>4.9753877218867011</v>
      </c>
      <c r="G295" s="1">
        <v>14.360027185554463</v>
      </c>
    </row>
    <row r="296" spans="2:7" x14ac:dyDescent="0.25">
      <c r="B296" s="1">
        <v>290</v>
      </c>
      <c r="C296" s="1">
        <v>9.4797554919427061</v>
      </c>
      <c r="D296" s="1">
        <v>2.0040107404400662</v>
      </c>
      <c r="E296" s="1">
        <v>7.4337280106741472</v>
      </c>
      <c r="F296" s="1">
        <v>0.95946849710109394</v>
      </c>
      <c r="G296" s="1">
        <v>26.631230143922888</v>
      </c>
    </row>
    <row r="297" spans="2:7" x14ac:dyDescent="0.25">
      <c r="B297" s="1">
        <v>291</v>
      </c>
      <c r="C297" s="1">
        <v>3.9369666321078127</v>
      </c>
      <c r="D297" s="1">
        <v>2.9149894565465302</v>
      </c>
      <c r="E297" s="1">
        <v>2.5810976306563096</v>
      </c>
      <c r="F297" s="1">
        <v>6.6670090804338242</v>
      </c>
      <c r="G297" s="1">
        <v>-22.203023137701859</v>
      </c>
    </row>
    <row r="298" spans="2:7" x14ac:dyDescent="0.25">
      <c r="B298" s="1">
        <v>292</v>
      </c>
      <c r="C298" s="1">
        <v>-3.8680988575947106</v>
      </c>
      <c r="D298" s="1">
        <v>0.29171791665641067</v>
      </c>
      <c r="E298" s="1">
        <v>8.0205015840881817</v>
      </c>
      <c r="F298" s="1">
        <v>-2.878231652006412</v>
      </c>
      <c r="G298" s="1">
        <v>-1.9420923266483643</v>
      </c>
    </row>
    <row r="299" spans="2:7" x14ac:dyDescent="0.25">
      <c r="B299" s="1">
        <v>293</v>
      </c>
      <c r="C299" s="1">
        <v>6.3283475819803474</v>
      </c>
      <c r="D299" s="1">
        <v>2.8203149013569058</v>
      </c>
      <c r="E299" s="1">
        <v>2.4415131488233262</v>
      </c>
      <c r="F299" s="1">
        <v>5.4988983473649986</v>
      </c>
      <c r="G299" s="1">
        <v>18.37661997792868</v>
      </c>
    </row>
    <row r="300" spans="2:7" x14ac:dyDescent="0.25">
      <c r="B300" s="1">
        <v>294</v>
      </c>
      <c r="C300" s="1">
        <v>7.739171796805584</v>
      </c>
      <c r="D300" s="1">
        <v>3.2371009980278753</v>
      </c>
      <c r="E300" s="1">
        <v>-1.7283125222992957</v>
      </c>
      <c r="F300" s="1">
        <v>7.4800033588034189</v>
      </c>
      <c r="G300" s="1">
        <v>0.87967911166857637</v>
      </c>
    </row>
    <row r="301" spans="2:7" x14ac:dyDescent="0.25">
      <c r="B301" s="1">
        <v>295</v>
      </c>
      <c r="C301" s="1">
        <v>-0.59337370530817601</v>
      </c>
      <c r="D301" s="1">
        <v>3.9388543399966105</v>
      </c>
      <c r="E301" s="1">
        <v>7.6026306614643282</v>
      </c>
      <c r="F301" s="1">
        <v>-6.5184567572999237</v>
      </c>
      <c r="G301" s="1">
        <v>5.198546057523445</v>
      </c>
    </row>
    <row r="302" spans="2:7" x14ac:dyDescent="0.25">
      <c r="B302" s="1">
        <v>296</v>
      </c>
      <c r="C302" s="1">
        <v>3.6942031265920594</v>
      </c>
      <c r="D302" s="1">
        <v>-3.3299257988563622</v>
      </c>
      <c r="E302" s="1">
        <v>8.405734544741863</v>
      </c>
      <c r="F302" s="1">
        <v>-3.9645244298140327</v>
      </c>
      <c r="G302" s="1">
        <v>7.4483822964956259</v>
      </c>
    </row>
    <row r="303" spans="2:7" x14ac:dyDescent="0.25">
      <c r="B303" s="1">
        <v>297</v>
      </c>
      <c r="C303" s="1">
        <v>2.3830315337634551</v>
      </c>
      <c r="D303" s="1">
        <v>7.2848550680884196</v>
      </c>
      <c r="E303" s="1">
        <v>0.31206123360014643</v>
      </c>
      <c r="F303" s="1">
        <v>3.9690883022669312</v>
      </c>
      <c r="G303" s="1">
        <v>-13.928552345559421</v>
      </c>
    </row>
    <row r="304" spans="2:7" x14ac:dyDescent="0.25">
      <c r="B304" s="1">
        <v>298</v>
      </c>
      <c r="C304" s="1">
        <v>2.8482093038568408</v>
      </c>
      <c r="D304" s="1">
        <v>0.68915592079974541</v>
      </c>
      <c r="E304" s="1">
        <v>-6.7228993003612301</v>
      </c>
      <c r="F304" s="1">
        <v>2.8979040468012993</v>
      </c>
      <c r="G304" s="1">
        <v>-23.581153819616816</v>
      </c>
    </row>
    <row r="305" spans="2:7" x14ac:dyDescent="0.25">
      <c r="B305" s="1">
        <v>299</v>
      </c>
      <c r="C305" s="1">
        <v>-3.3685027415145008E-2</v>
      </c>
      <c r="D305" s="1">
        <v>9.1555721773630765</v>
      </c>
      <c r="E305" s="1">
        <v>4.0259457194833868</v>
      </c>
      <c r="F305" s="1">
        <v>-15.651132351579667</v>
      </c>
      <c r="G305" s="1">
        <v>8.0763336541368762</v>
      </c>
    </row>
    <row r="306" spans="2:7" x14ac:dyDescent="0.25">
      <c r="B306" s="1">
        <v>300</v>
      </c>
      <c r="C306" s="1">
        <v>-1.2261903594640091</v>
      </c>
      <c r="D306" s="1">
        <v>6.231069042031006</v>
      </c>
      <c r="E306" s="1">
        <v>-0.91004371310245591</v>
      </c>
      <c r="F306" s="1">
        <v>4.0588662802400348</v>
      </c>
      <c r="G306" s="1">
        <v>-7.6649868221460009</v>
      </c>
    </row>
    <row r="307" spans="2:7" x14ac:dyDescent="0.25">
      <c r="B307" s="1">
        <v>301</v>
      </c>
      <c r="C307" s="1">
        <v>0.60840605970412698</v>
      </c>
      <c r="D307" s="1">
        <v>-0.54530243200058448</v>
      </c>
      <c r="E307" s="1">
        <v>14.957620313829837</v>
      </c>
      <c r="F307" s="1">
        <v>-2.8183765264071146</v>
      </c>
      <c r="G307" s="1">
        <v>-2.481815038222102</v>
      </c>
    </row>
    <row r="308" spans="2:7" x14ac:dyDescent="0.25">
      <c r="B308" s="1">
        <v>302</v>
      </c>
      <c r="C308" s="1">
        <v>-0.12065281066024536</v>
      </c>
      <c r="D308" s="1">
        <v>8.2486020234249757</v>
      </c>
      <c r="E308" s="1">
        <v>2.2121197532805255</v>
      </c>
      <c r="F308" s="1">
        <v>-0.19895980060974411</v>
      </c>
      <c r="G308" s="1">
        <v>-1.4761106183006205</v>
      </c>
    </row>
    <row r="309" spans="2:7" x14ac:dyDescent="0.25">
      <c r="B309" s="1">
        <v>303</v>
      </c>
      <c r="C309" s="1">
        <v>2.5358720566598252</v>
      </c>
      <c r="D309" s="1">
        <v>6.9921105629112317</v>
      </c>
      <c r="E309" s="1">
        <v>-2.7494371862343783E-2</v>
      </c>
      <c r="F309" s="1">
        <v>-2.7685448008357074</v>
      </c>
      <c r="G309" s="1">
        <v>-6.4656048542013931</v>
      </c>
    </row>
    <row r="310" spans="2:7" x14ac:dyDescent="0.25">
      <c r="B310" s="1">
        <v>304</v>
      </c>
      <c r="C310" s="1">
        <v>3.5963645304223357</v>
      </c>
      <c r="D310" s="1">
        <v>2.419440039338558</v>
      </c>
      <c r="E310" s="1">
        <v>3.0707376544375213</v>
      </c>
      <c r="F310" s="1">
        <v>15.117431664238485</v>
      </c>
      <c r="G310" s="1">
        <v>6.3022547989815338</v>
      </c>
    </row>
    <row r="311" spans="2:7" x14ac:dyDescent="0.25">
      <c r="B311" s="1">
        <v>305</v>
      </c>
      <c r="C311" s="1">
        <v>7.1794715541578373</v>
      </c>
      <c r="D311" s="1">
        <v>1.9545054180399049</v>
      </c>
      <c r="E311" s="1">
        <v>4.5999897377708647</v>
      </c>
      <c r="F311" s="1">
        <v>3.7570927027856325</v>
      </c>
      <c r="G311" s="1">
        <v>6.6180690241476956</v>
      </c>
    </row>
    <row r="312" spans="2:7" x14ac:dyDescent="0.25">
      <c r="B312" s="1">
        <v>306</v>
      </c>
      <c r="C312" s="1">
        <v>-2.2868909959757628</v>
      </c>
      <c r="D312" s="1">
        <v>3.5399248735582645</v>
      </c>
      <c r="E312" s="1">
        <v>-0.55847943669729638</v>
      </c>
      <c r="F312" s="1">
        <v>4.5905151423640733</v>
      </c>
      <c r="G312" s="1">
        <v>-10.566316583426621</v>
      </c>
    </row>
    <row r="313" spans="2:7" x14ac:dyDescent="0.25">
      <c r="B313" s="1">
        <v>307</v>
      </c>
      <c r="C313" s="1">
        <v>-2.8135442516568099</v>
      </c>
      <c r="D313" s="1">
        <v>3.4974883702417774</v>
      </c>
      <c r="E313" s="1">
        <v>-5.720198267042413</v>
      </c>
      <c r="F313" s="1">
        <v>6.7250070333413836</v>
      </c>
      <c r="G313" s="1">
        <v>-2.5402353542980394</v>
      </c>
    </row>
    <row r="314" spans="2:7" x14ac:dyDescent="0.25">
      <c r="B314" s="1">
        <v>308</v>
      </c>
      <c r="C314" s="1">
        <v>1.5840848462614465</v>
      </c>
      <c r="D314" s="1">
        <v>7.2276397888829429</v>
      </c>
      <c r="E314" s="1">
        <v>12.193199115866603</v>
      </c>
      <c r="F314" s="1">
        <v>20.171652035261655</v>
      </c>
      <c r="G314" s="1">
        <v>6.6905901967303718</v>
      </c>
    </row>
    <row r="315" spans="2:7" x14ac:dyDescent="0.25">
      <c r="B315" s="1">
        <v>309</v>
      </c>
      <c r="C315" s="1">
        <v>7.3688037578704657</v>
      </c>
      <c r="D315" s="1">
        <v>2.6206569545346459</v>
      </c>
      <c r="E315" s="1">
        <v>-11.926895841051005</v>
      </c>
      <c r="F315" s="1">
        <v>-8.0621765994721883</v>
      </c>
      <c r="G315" s="1">
        <v>-6.6819349677830209</v>
      </c>
    </row>
    <row r="316" spans="2:7" x14ac:dyDescent="0.25">
      <c r="B316" s="1">
        <v>310</v>
      </c>
      <c r="C316" s="1">
        <v>-1.9766604997269841</v>
      </c>
      <c r="D316" s="1">
        <v>2.9972177212082918</v>
      </c>
      <c r="E316" s="1">
        <v>4.544671106846609</v>
      </c>
      <c r="F316" s="1">
        <v>6.3536102304663773</v>
      </c>
      <c r="G316" s="1">
        <v>7.8167394824549952</v>
      </c>
    </row>
    <row r="317" spans="2:7" x14ac:dyDescent="0.25">
      <c r="B317" s="1">
        <v>311</v>
      </c>
      <c r="C317" s="1">
        <v>1.9537063203030844</v>
      </c>
      <c r="D317" s="1">
        <v>4.0148618862738399</v>
      </c>
      <c r="E317" s="1">
        <v>-7.4783032024274991</v>
      </c>
      <c r="F317" s="1">
        <v>1.8397219065219728</v>
      </c>
      <c r="G317" s="1">
        <v>7.5157408298362629</v>
      </c>
    </row>
    <row r="318" spans="2:7" x14ac:dyDescent="0.25">
      <c r="B318" s="1">
        <v>312</v>
      </c>
      <c r="C318" s="1">
        <v>3.3603574702856993</v>
      </c>
      <c r="D318" s="1">
        <v>-1.0231703266766452</v>
      </c>
      <c r="E318" s="1">
        <v>3.7263530450085272</v>
      </c>
      <c r="F318" s="1">
        <v>11.54333075609483</v>
      </c>
      <c r="G318" s="1">
        <v>9.4007746149241989</v>
      </c>
    </row>
    <row r="319" spans="2:7" x14ac:dyDescent="0.25">
      <c r="B319" s="1">
        <v>313</v>
      </c>
      <c r="C319" s="1">
        <v>2.6775287712446492</v>
      </c>
      <c r="D319" s="1">
        <v>-2.1830949525102685</v>
      </c>
      <c r="E319" s="1">
        <v>0.31351793012070173</v>
      </c>
      <c r="F319" s="1">
        <v>-17.730593726384225</v>
      </c>
      <c r="G319" s="1">
        <v>6.8011519152466553</v>
      </c>
    </row>
    <row r="320" spans="2:7" x14ac:dyDescent="0.25">
      <c r="B320" s="1">
        <v>314</v>
      </c>
      <c r="C320" s="1">
        <v>1.2429618748210161</v>
      </c>
      <c r="D320" s="1">
        <v>1.1984249322741061</v>
      </c>
      <c r="E320" s="1">
        <v>3.8863579903927863</v>
      </c>
      <c r="F320" s="1">
        <v>-5.260167631778236</v>
      </c>
      <c r="G320" s="1">
        <v>-1.4445209614731118</v>
      </c>
    </row>
    <row r="321" spans="2:7" x14ac:dyDescent="0.25">
      <c r="B321" s="1">
        <v>315</v>
      </c>
      <c r="C321" s="1">
        <v>7.6518328811080307</v>
      </c>
      <c r="D321" s="1">
        <v>10.647488226582487</v>
      </c>
      <c r="E321" s="1">
        <v>-2.7508170700418302</v>
      </c>
      <c r="F321" s="1">
        <v>-0.36375311892183526</v>
      </c>
      <c r="G321" s="1">
        <v>4.7380053317626647</v>
      </c>
    </row>
    <row r="322" spans="2:7" x14ac:dyDescent="0.25">
      <c r="B322" s="1">
        <v>316</v>
      </c>
      <c r="C322" s="1">
        <v>1.1692691221396121</v>
      </c>
      <c r="D322" s="1">
        <v>3.0153334763443032</v>
      </c>
      <c r="E322" s="1">
        <v>4.4413309358576409</v>
      </c>
      <c r="F322" s="1">
        <v>13.141988827315547</v>
      </c>
      <c r="G322" s="1">
        <v>22.312933551209746</v>
      </c>
    </row>
    <row r="323" spans="2:7" x14ac:dyDescent="0.25">
      <c r="B323" s="1">
        <v>317</v>
      </c>
      <c r="C323" s="1">
        <v>4.4650377010986606</v>
      </c>
      <c r="D323" s="1">
        <v>-4.5599104352505737</v>
      </c>
      <c r="E323" s="1">
        <v>-18.088991873730045</v>
      </c>
      <c r="F323" s="1">
        <v>-11.018839857314662</v>
      </c>
      <c r="G323" s="1">
        <v>4.2161815684707706</v>
      </c>
    </row>
    <row r="324" spans="2:7" x14ac:dyDescent="0.25">
      <c r="B324" s="1">
        <v>318</v>
      </c>
      <c r="C324" s="1">
        <v>6.8717939954326992</v>
      </c>
      <c r="D324" s="1">
        <v>-0.36331571583465827</v>
      </c>
      <c r="E324" s="1">
        <v>17.591541833408833</v>
      </c>
      <c r="F324" s="1">
        <v>13.630160396601974</v>
      </c>
      <c r="G324" s="1">
        <v>-10.415238941277769</v>
      </c>
    </row>
    <row r="325" spans="2:7" x14ac:dyDescent="0.25">
      <c r="B325" s="1">
        <v>319</v>
      </c>
      <c r="C325" s="1">
        <v>4.1899162861893426</v>
      </c>
      <c r="D325" s="1">
        <v>-3.2748132390027158</v>
      </c>
      <c r="E325" s="1">
        <v>-2.577102728129824</v>
      </c>
      <c r="F325" s="1">
        <v>15.149514088548147</v>
      </c>
      <c r="G325" s="1">
        <v>6.4566023814399713</v>
      </c>
    </row>
    <row r="326" spans="2:7" x14ac:dyDescent="0.25">
      <c r="B326" s="1">
        <v>320</v>
      </c>
      <c r="C326" s="1">
        <v>2.2569185604520627</v>
      </c>
      <c r="D326" s="1">
        <v>-4.3237666280307243</v>
      </c>
      <c r="E326" s="1">
        <v>9.0597442971383284</v>
      </c>
      <c r="F326" s="1">
        <v>-8.4028279281972136</v>
      </c>
      <c r="G326" s="1">
        <v>0.82167825689544816</v>
      </c>
    </row>
    <row r="327" spans="2:7" x14ac:dyDescent="0.25">
      <c r="B327" s="1">
        <v>321</v>
      </c>
      <c r="C327" s="1">
        <v>0.13999481570525574</v>
      </c>
      <c r="D327" s="1">
        <v>7.3748902718230411</v>
      </c>
      <c r="E327" s="1">
        <v>5.2525563100798474</v>
      </c>
      <c r="F327" s="1">
        <v>-6.4878481952257037</v>
      </c>
      <c r="G327" s="1">
        <v>15.385197348422404</v>
      </c>
    </row>
    <row r="328" spans="2:7" x14ac:dyDescent="0.25">
      <c r="B328" s="1">
        <v>322</v>
      </c>
      <c r="C328" s="1">
        <v>4.2323455596035746</v>
      </c>
      <c r="D328" s="1">
        <v>3.2435851624156933</v>
      </c>
      <c r="E328" s="1">
        <v>4.2097697253130706</v>
      </c>
      <c r="F328" s="1">
        <v>4.4755604199153254</v>
      </c>
      <c r="G328" s="1">
        <v>2.7420393832638288</v>
      </c>
    </row>
    <row r="329" spans="2:7" x14ac:dyDescent="0.25">
      <c r="B329" s="1">
        <v>323</v>
      </c>
      <c r="C329" s="1">
        <v>2.7684569363941889</v>
      </c>
      <c r="D329" s="1">
        <v>5.6062407765508873</v>
      </c>
      <c r="E329" s="1">
        <v>3.368826399313392</v>
      </c>
      <c r="F329" s="1">
        <v>5.5434901207271201</v>
      </c>
      <c r="G329" s="1">
        <v>9.3756720553511634</v>
      </c>
    </row>
    <row r="330" spans="2:7" x14ac:dyDescent="0.25">
      <c r="B330" s="1">
        <v>324</v>
      </c>
      <c r="C330" s="1">
        <v>2.547140709919514</v>
      </c>
      <c r="D330" s="1">
        <v>5.0367302280231359</v>
      </c>
      <c r="E330" s="1">
        <v>-2.6846742301620208</v>
      </c>
      <c r="F330" s="1">
        <v>1.8145120071112966</v>
      </c>
      <c r="G330" s="1">
        <v>16.264018857992035</v>
      </c>
    </row>
    <row r="331" spans="2:7" x14ac:dyDescent="0.25">
      <c r="B331" s="1">
        <v>325</v>
      </c>
      <c r="C331" s="1">
        <v>3.7250080682409172</v>
      </c>
      <c r="D331" s="1">
        <v>-1.8514019084330045</v>
      </c>
      <c r="E331" s="1">
        <v>14.706229420115823</v>
      </c>
      <c r="F331" s="1">
        <v>6.0038330324508573</v>
      </c>
      <c r="G331" s="1">
        <v>16.035419701475703</v>
      </c>
    </row>
    <row r="332" spans="2:7" x14ac:dyDescent="0.25">
      <c r="B332" s="1">
        <v>326</v>
      </c>
      <c r="C332" s="1">
        <v>-0.64044441384468698</v>
      </c>
      <c r="D332" s="1">
        <v>0.17263518347049031</v>
      </c>
      <c r="E332" s="1">
        <v>8.8138710901373774</v>
      </c>
      <c r="F332" s="1">
        <v>6.5550175222101137</v>
      </c>
      <c r="G332" s="1">
        <v>2.502944069362512</v>
      </c>
    </row>
    <row r="333" spans="2:7" x14ac:dyDescent="0.25">
      <c r="B333" s="1">
        <v>327</v>
      </c>
      <c r="C333" s="1">
        <v>-2.7097277967966571</v>
      </c>
      <c r="D333" s="1">
        <v>2.2525195673886946</v>
      </c>
      <c r="E333" s="1">
        <v>-0.67976965525381361</v>
      </c>
      <c r="F333" s="1">
        <v>10.427509274088708</v>
      </c>
      <c r="G333" s="1">
        <v>-9.3493906747611639</v>
      </c>
    </row>
    <row r="334" spans="2:7" x14ac:dyDescent="0.25">
      <c r="B334" s="1">
        <v>328</v>
      </c>
      <c r="C334" s="1">
        <v>-1.5865692646128462</v>
      </c>
      <c r="D334" s="1">
        <v>1.1012316620480684</v>
      </c>
      <c r="E334" s="1">
        <v>4.8600174389545137</v>
      </c>
      <c r="F334" s="1">
        <v>6.4415019478073869</v>
      </c>
      <c r="G334" s="1">
        <v>-15.749351309310322</v>
      </c>
    </row>
    <row r="335" spans="2:7" x14ac:dyDescent="0.25">
      <c r="B335" s="1">
        <v>329</v>
      </c>
      <c r="C335" s="1">
        <v>2.7618653962191857</v>
      </c>
      <c r="D335" s="1">
        <v>1.8293511342262647</v>
      </c>
      <c r="E335" s="1">
        <v>3.445761125714693</v>
      </c>
      <c r="F335" s="1">
        <v>-2.0707031019180944</v>
      </c>
      <c r="G335" s="1">
        <v>-13.438015303024441</v>
      </c>
    </row>
    <row r="336" spans="2:7" x14ac:dyDescent="0.25">
      <c r="B336" s="1">
        <v>330</v>
      </c>
      <c r="C336" s="1">
        <v>4.221632908841582</v>
      </c>
      <c r="D336" s="1">
        <v>6.9357183872826607</v>
      </c>
      <c r="E336" s="1">
        <v>3.352001966283026</v>
      </c>
      <c r="F336" s="1">
        <v>17.768360777017961</v>
      </c>
      <c r="G336" s="1">
        <v>-1.0997051013378458</v>
      </c>
    </row>
    <row r="337" spans="2:7" x14ac:dyDescent="0.25">
      <c r="B337" s="1">
        <v>331</v>
      </c>
      <c r="C337" s="1">
        <v>1.1281599001030354</v>
      </c>
      <c r="D337" s="1">
        <v>5.2729363894663752</v>
      </c>
      <c r="E337" s="1">
        <v>0.57675718319005709</v>
      </c>
      <c r="F337" s="1">
        <v>-2.9294368477829056</v>
      </c>
      <c r="G337" s="1">
        <v>33.13269470500822</v>
      </c>
    </row>
    <row r="338" spans="2:7" x14ac:dyDescent="0.25">
      <c r="B338" s="1">
        <v>332</v>
      </c>
      <c r="C338" s="1">
        <v>6.866765549095236</v>
      </c>
      <c r="D338" s="1">
        <v>10.839675760928435</v>
      </c>
      <c r="E338" s="1">
        <v>7.7487038975415192</v>
      </c>
      <c r="F338" s="1">
        <v>14.886582946480111</v>
      </c>
      <c r="G338" s="1">
        <v>17.799172034057484</v>
      </c>
    </row>
    <row r="339" spans="2:7" x14ac:dyDescent="0.25">
      <c r="B339" s="1">
        <v>333</v>
      </c>
      <c r="C339" s="1">
        <v>3.8754191090419994</v>
      </c>
      <c r="D339" s="1">
        <v>13.282641870767396</v>
      </c>
      <c r="E339" s="1">
        <v>-6.4330524663961164</v>
      </c>
      <c r="F339" s="1">
        <v>9.4648225644399222</v>
      </c>
      <c r="G339" s="1">
        <v>12.307789146402852</v>
      </c>
    </row>
    <row r="340" spans="2:7" x14ac:dyDescent="0.25">
      <c r="B340" s="1">
        <v>334</v>
      </c>
      <c r="C340" s="1">
        <v>6.4144860211649473</v>
      </c>
      <c r="D340" s="1">
        <v>11.828259070869732</v>
      </c>
      <c r="E340" s="1">
        <v>11.88567563217439</v>
      </c>
      <c r="F340" s="1">
        <v>2.1720561971571644</v>
      </c>
      <c r="G340" s="1">
        <v>-2.8175390083903462</v>
      </c>
    </row>
    <row r="341" spans="2:7" x14ac:dyDescent="0.25">
      <c r="B341" s="1">
        <v>335</v>
      </c>
      <c r="C341" s="1">
        <v>-0.39729192171593475</v>
      </c>
      <c r="D341" s="1">
        <v>-0.73190946908886567</v>
      </c>
      <c r="E341" s="1">
        <v>5.6143169124107253</v>
      </c>
      <c r="F341" s="1">
        <v>-3.6254279974184818</v>
      </c>
      <c r="G341" s="1">
        <v>-10.297001970299055</v>
      </c>
    </row>
    <row r="342" spans="2:7" x14ac:dyDescent="0.25">
      <c r="B342" s="1">
        <v>336</v>
      </c>
      <c r="C342" s="1">
        <v>2.0042715807620031</v>
      </c>
      <c r="D342" s="1">
        <v>8.8917782166773964</v>
      </c>
      <c r="E342" s="1">
        <v>7.6765346820812264</v>
      </c>
      <c r="F342" s="1">
        <v>3.1341075263905673</v>
      </c>
      <c r="G342" s="1">
        <v>4.2677794669681841</v>
      </c>
    </row>
    <row r="343" spans="2:7" x14ac:dyDescent="0.25">
      <c r="B343" s="1">
        <v>337</v>
      </c>
      <c r="C343" s="1">
        <v>15.305908429237801</v>
      </c>
      <c r="D343" s="1">
        <v>12.900724858853849</v>
      </c>
      <c r="E343" s="1">
        <v>4.9792553191239826</v>
      </c>
      <c r="F343" s="1">
        <v>10.107267619785848</v>
      </c>
      <c r="G343" s="1">
        <v>11.774021809594002</v>
      </c>
    </row>
    <row r="344" spans="2:7" x14ac:dyDescent="0.25">
      <c r="B344" s="1">
        <v>338</v>
      </c>
      <c r="C344" s="1">
        <v>5.6974226133368902</v>
      </c>
      <c r="D344" s="1">
        <v>11.516097344899626</v>
      </c>
      <c r="E344" s="1">
        <v>10.944849823100585</v>
      </c>
      <c r="F344" s="1">
        <v>12.294188223137047</v>
      </c>
      <c r="G344" s="1">
        <v>17.889142215469835</v>
      </c>
    </row>
    <row r="345" spans="2:7" x14ac:dyDescent="0.25">
      <c r="B345" s="1">
        <v>339</v>
      </c>
      <c r="C345" s="1">
        <v>4.7005203999278251</v>
      </c>
      <c r="D345" s="1">
        <v>0.90192630519751693</v>
      </c>
      <c r="E345" s="1">
        <v>-2.0615997063226952</v>
      </c>
      <c r="F345" s="1">
        <v>0.14816590707260635</v>
      </c>
      <c r="G345" s="1">
        <v>19.573905022812738</v>
      </c>
    </row>
    <row r="346" spans="2:7" x14ac:dyDescent="0.25">
      <c r="B346" s="1">
        <v>340</v>
      </c>
      <c r="C346" s="1">
        <v>4.8505079509770219</v>
      </c>
      <c r="D346" s="1">
        <v>11.102950858929779</v>
      </c>
      <c r="E346" s="1">
        <v>10.478256568865081</v>
      </c>
      <c r="F346" s="1">
        <v>9.0126745383805709</v>
      </c>
      <c r="G346" s="1">
        <v>5.8812581657958853</v>
      </c>
    </row>
    <row r="347" spans="2:7" x14ac:dyDescent="0.25">
      <c r="B347" s="1">
        <v>341</v>
      </c>
      <c r="C347" s="1">
        <v>3.7861986422335332</v>
      </c>
      <c r="D347" s="1">
        <v>9.2882170623506894</v>
      </c>
      <c r="E347" s="1">
        <v>-3.7446692959359726</v>
      </c>
      <c r="F347" s="1">
        <v>-4.3939592531309115</v>
      </c>
      <c r="G347" s="1">
        <v>12.812787734520965</v>
      </c>
    </row>
    <row r="348" spans="2:7" x14ac:dyDescent="0.25">
      <c r="B348" s="1">
        <v>342</v>
      </c>
      <c r="C348" s="1">
        <v>6.4705036365454154</v>
      </c>
      <c r="D348" s="1">
        <v>14.206718204840111</v>
      </c>
      <c r="E348" s="1">
        <v>-10.21093455149116</v>
      </c>
      <c r="F348" s="1">
        <v>10.543834428846935</v>
      </c>
      <c r="G348" s="1">
        <v>0.248481039047</v>
      </c>
    </row>
    <row r="349" spans="2:7" x14ac:dyDescent="0.25">
      <c r="B349" s="1">
        <v>343</v>
      </c>
      <c r="C349" s="1">
        <v>0.93816118199517762</v>
      </c>
      <c r="D349" s="1">
        <v>0.19223706634306223</v>
      </c>
      <c r="E349" s="1">
        <v>5.6081651685298413</v>
      </c>
      <c r="F349" s="1">
        <v>3.5569332222149228</v>
      </c>
      <c r="G349" s="1">
        <v>-19.021961494596599</v>
      </c>
    </row>
    <row r="350" spans="2:7" x14ac:dyDescent="0.25">
      <c r="B350" s="1">
        <v>344</v>
      </c>
      <c r="C350" s="1">
        <v>3.0303811996704164</v>
      </c>
      <c r="D350" s="1">
        <v>1.5802148430945393</v>
      </c>
      <c r="E350" s="1">
        <v>0.16692876209929808</v>
      </c>
      <c r="F350" s="1">
        <v>8.8986137806888923</v>
      </c>
      <c r="G350" s="1">
        <v>15.295187502896498</v>
      </c>
    </row>
    <row r="351" spans="2:7" x14ac:dyDescent="0.25">
      <c r="B351" s="1">
        <v>345</v>
      </c>
      <c r="C351" s="1">
        <v>-2.1148023734127968</v>
      </c>
      <c r="D351" s="1">
        <v>1.8961836736100068</v>
      </c>
      <c r="E351" s="1">
        <v>-2.3618249632891448</v>
      </c>
      <c r="F351" s="1">
        <v>2.8272058151261215</v>
      </c>
      <c r="G351" s="1">
        <v>-4.8708530151422078</v>
      </c>
    </row>
    <row r="352" spans="2:7" x14ac:dyDescent="0.25">
      <c r="B352" s="1">
        <v>346</v>
      </c>
      <c r="C352" s="1">
        <v>5.1070132398101631</v>
      </c>
      <c r="D352" s="1">
        <v>-6.3677612201361029</v>
      </c>
      <c r="E352" s="1">
        <v>5.9382209782840052</v>
      </c>
      <c r="F352" s="1">
        <v>13.899991018661602</v>
      </c>
      <c r="G352" s="1">
        <v>2.8812237407097352</v>
      </c>
    </row>
    <row r="353" spans="2:7" x14ac:dyDescent="0.25">
      <c r="B353" s="1">
        <v>347</v>
      </c>
      <c r="C353" s="1">
        <v>0.17253248816918587</v>
      </c>
      <c r="D353" s="1">
        <v>4.3150236301748306</v>
      </c>
      <c r="E353" s="1">
        <v>8.1980194033318909</v>
      </c>
      <c r="F353" s="1">
        <v>-1.0324567846055435</v>
      </c>
      <c r="G353" s="1">
        <v>-4.244367531041525</v>
      </c>
    </row>
    <row r="354" spans="2:7" x14ac:dyDescent="0.25">
      <c r="B354" s="1">
        <v>348</v>
      </c>
      <c r="C354" s="1">
        <v>1.9221542861769874</v>
      </c>
      <c r="D354" s="1">
        <v>5.2902283525178282</v>
      </c>
      <c r="E354" s="1">
        <v>6.6810358610259168</v>
      </c>
      <c r="F354" s="1">
        <v>-0.42723949208949014</v>
      </c>
      <c r="G354" s="1">
        <v>-0.25766973214209138</v>
      </c>
    </row>
    <row r="355" spans="2:7" x14ac:dyDescent="0.25">
      <c r="B355" s="1">
        <v>349</v>
      </c>
      <c r="C355" s="1">
        <v>7.8308534191047379</v>
      </c>
      <c r="D355" s="1">
        <v>11.403848673946541</v>
      </c>
      <c r="E355" s="1">
        <v>3.6571380614711586</v>
      </c>
      <c r="F355" s="1">
        <v>7.3340794288520037</v>
      </c>
      <c r="G355" s="1">
        <v>21.401427698257301</v>
      </c>
    </row>
    <row r="356" spans="2:7" x14ac:dyDescent="0.25">
      <c r="B356" s="1">
        <v>350</v>
      </c>
      <c r="C356" s="1">
        <v>-1.8919919588250975</v>
      </c>
      <c r="D356" s="1">
        <v>-0.11326468067072527</v>
      </c>
      <c r="E356" s="1">
        <v>0.97553603146969292</v>
      </c>
      <c r="F356" s="1">
        <v>6.3991678301261326</v>
      </c>
      <c r="G356" s="1">
        <v>-3.8598889220262174</v>
      </c>
    </row>
    <row r="357" spans="2:7" x14ac:dyDescent="0.25">
      <c r="B357" s="1">
        <v>351</v>
      </c>
      <c r="C357" s="1">
        <v>0.47467912600775275</v>
      </c>
      <c r="D357" s="1">
        <v>-1.1878315014664773</v>
      </c>
      <c r="E357" s="1">
        <v>0.38772354578745744</v>
      </c>
      <c r="F357" s="1">
        <v>0.50066592521370357</v>
      </c>
      <c r="G357" s="1">
        <v>-3.6330394397621846</v>
      </c>
    </row>
    <row r="358" spans="2:7" x14ac:dyDescent="0.25">
      <c r="B358" s="1">
        <v>352</v>
      </c>
      <c r="C358" s="1">
        <v>3.1820203041361199</v>
      </c>
      <c r="D358" s="1">
        <v>5.049172380439038</v>
      </c>
      <c r="E358" s="1">
        <v>-1.2067603849264465</v>
      </c>
      <c r="F358" s="1">
        <v>4.4383243070474121</v>
      </c>
      <c r="G358" s="1">
        <v>-7.7019201225857508</v>
      </c>
    </row>
    <row r="359" spans="2:7" x14ac:dyDescent="0.25">
      <c r="B359" s="1">
        <v>353</v>
      </c>
      <c r="C359" s="1">
        <v>1.8414051549180366</v>
      </c>
      <c r="D359" s="1">
        <v>5.6522018611098055</v>
      </c>
      <c r="E359" s="1">
        <v>9.3686814462531238</v>
      </c>
      <c r="F359" s="1">
        <v>8.235578169761002</v>
      </c>
      <c r="G359" s="1">
        <v>28.014898185439737</v>
      </c>
    </row>
    <row r="360" spans="2:7" x14ac:dyDescent="0.25">
      <c r="B360" s="1">
        <v>354</v>
      </c>
      <c r="C360" s="1">
        <v>1.5371083769774674</v>
      </c>
      <c r="D360" s="1">
        <v>-8.1059118825602123</v>
      </c>
      <c r="E360" s="1">
        <v>4.8680214648899467</v>
      </c>
      <c r="F360" s="1">
        <v>15.969356394336586</v>
      </c>
      <c r="G360" s="1">
        <v>-9.7802936636218067</v>
      </c>
    </row>
    <row r="361" spans="2:7" x14ac:dyDescent="0.25">
      <c r="B361" s="1">
        <v>355</v>
      </c>
      <c r="C361" s="1">
        <v>-3.2299104168001413E-2</v>
      </c>
      <c r="D361" s="1">
        <v>2.5559640055810591</v>
      </c>
      <c r="E361" s="1">
        <v>9.6489179397558864</v>
      </c>
      <c r="F361" s="1">
        <v>17.432418414998097</v>
      </c>
      <c r="G361" s="1">
        <v>3.321496076001357</v>
      </c>
    </row>
    <row r="362" spans="2:7" x14ac:dyDescent="0.25">
      <c r="B362" s="1">
        <v>356</v>
      </c>
      <c r="C362" s="1">
        <v>7.9871164115659532E-2</v>
      </c>
      <c r="D362" s="1">
        <v>9.2633469723244275</v>
      </c>
      <c r="E362" s="1">
        <v>4.0582777906550183</v>
      </c>
      <c r="F362" s="1">
        <v>1.7690785540587</v>
      </c>
      <c r="G362" s="1">
        <v>1.1251531094482021</v>
      </c>
    </row>
    <row r="363" spans="2:7" x14ac:dyDescent="0.25">
      <c r="B363" s="1">
        <v>357</v>
      </c>
      <c r="C363" s="1">
        <v>0.61814543047839754</v>
      </c>
      <c r="D363" s="1">
        <v>2.0761597019745568</v>
      </c>
      <c r="E363" s="1">
        <v>16.569742280179526</v>
      </c>
      <c r="F363" s="1">
        <v>2.418300378113091</v>
      </c>
      <c r="G363" s="1">
        <v>6.1142985105943382</v>
      </c>
    </row>
    <row r="364" spans="2:7" x14ac:dyDescent="0.25">
      <c r="B364" s="1">
        <v>358</v>
      </c>
      <c r="C364" s="1">
        <v>4.7532519881400264</v>
      </c>
      <c r="D364" s="1">
        <v>6.6065317505265417</v>
      </c>
      <c r="E364" s="1">
        <v>-1.0205316780217162</v>
      </c>
      <c r="F364" s="1">
        <v>17.757361944440191</v>
      </c>
      <c r="G364" s="1">
        <v>20.055585509695494</v>
      </c>
    </row>
    <row r="365" spans="2:7" x14ac:dyDescent="0.25">
      <c r="B365" s="1">
        <v>359</v>
      </c>
      <c r="C365" s="1">
        <v>3.6432996184371635</v>
      </c>
      <c r="D365" s="1">
        <v>3.6792240223015669</v>
      </c>
      <c r="E365" s="1">
        <v>3.6581842455415137</v>
      </c>
      <c r="F365" s="1">
        <v>3.0257233344767078</v>
      </c>
      <c r="G365" s="1">
        <v>14.813657851364169</v>
      </c>
    </row>
    <row r="366" spans="2:7" x14ac:dyDescent="0.25">
      <c r="B366" s="1">
        <v>360</v>
      </c>
      <c r="C366" s="1">
        <v>1.5783603662958305</v>
      </c>
      <c r="D366" s="1">
        <v>3.3866092135149413</v>
      </c>
      <c r="E366" s="1">
        <v>3.1295795048991719</v>
      </c>
      <c r="F366" s="1">
        <v>4.086454770959917</v>
      </c>
      <c r="G366" s="1">
        <v>18.835378272477296</v>
      </c>
    </row>
    <row r="367" spans="2:7" x14ac:dyDescent="0.25">
      <c r="B367" s="1">
        <v>361</v>
      </c>
      <c r="C367" s="1">
        <v>5.8936563474886317</v>
      </c>
      <c r="D367" s="1">
        <v>9.5953782152240965</v>
      </c>
      <c r="E367" s="1">
        <v>3.3342227462480589</v>
      </c>
      <c r="F367" s="1">
        <v>6.0371276559979092</v>
      </c>
      <c r="G367" s="1">
        <v>-22.028759558774549</v>
      </c>
    </row>
    <row r="368" spans="2:7" x14ac:dyDescent="0.25">
      <c r="B368" s="1">
        <v>362</v>
      </c>
      <c r="C368" s="1">
        <v>2.3077759012818029</v>
      </c>
      <c r="D368" s="1">
        <v>-5.1883711564952487E-2</v>
      </c>
      <c r="E368" s="1">
        <v>3.8784636703798312</v>
      </c>
      <c r="F368" s="1">
        <v>28.140074714669687</v>
      </c>
      <c r="G368" s="1">
        <v>14.717276859511285</v>
      </c>
    </row>
    <row r="369" spans="2:7" x14ac:dyDescent="0.25">
      <c r="B369" s="1">
        <v>363</v>
      </c>
      <c r="C369" s="1">
        <v>0.51989838038123715</v>
      </c>
      <c r="D369" s="1">
        <v>1.0931986035346268</v>
      </c>
      <c r="E369" s="1">
        <v>18.798870315634591</v>
      </c>
      <c r="F369" s="1">
        <v>4.6329948317454246</v>
      </c>
      <c r="G369" s="1">
        <v>11.34045172490754</v>
      </c>
    </row>
    <row r="370" spans="2:7" x14ac:dyDescent="0.25">
      <c r="B370" s="1">
        <v>364</v>
      </c>
      <c r="C370" s="1">
        <v>1.9367401681882959</v>
      </c>
      <c r="D370" s="1">
        <v>6.9933960675957936</v>
      </c>
      <c r="E370" s="1">
        <v>-0.12583047515559403</v>
      </c>
      <c r="F370" s="1">
        <v>3.4157046904384076</v>
      </c>
      <c r="G370" s="1">
        <v>9.1607677503016252</v>
      </c>
    </row>
    <row r="371" spans="2:7" x14ac:dyDescent="0.25">
      <c r="B371" s="1">
        <v>365</v>
      </c>
      <c r="C371" s="1">
        <v>1.3912303957918182</v>
      </c>
      <c r="D371" s="1">
        <v>3.5194828401263512</v>
      </c>
      <c r="E371" s="1">
        <v>7.6424593700171117</v>
      </c>
      <c r="F371" s="1">
        <v>0.95860389038691662</v>
      </c>
      <c r="G371" s="1">
        <v>2.8667386995143231</v>
      </c>
    </row>
    <row r="372" spans="2:7" x14ac:dyDescent="0.25">
      <c r="B372" s="1">
        <v>366</v>
      </c>
      <c r="C372" s="1">
        <v>-1.2182172335367838</v>
      </c>
      <c r="D372" s="1">
        <v>-7.122460921848015</v>
      </c>
      <c r="E372" s="1">
        <v>7.6152968419600091</v>
      </c>
      <c r="F372" s="1">
        <v>16.221123961445745</v>
      </c>
      <c r="G372" s="1">
        <v>-10.838085285411374</v>
      </c>
    </row>
    <row r="373" spans="2:7" x14ac:dyDescent="0.25">
      <c r="B373" s="1">
        <v>367</v>
      </c>
      <c r="C373" s="1">
        <v>3.5539358310673093</v>
      </c>
      <c r="D373" s="1">
        <v>1.1374331605433541</v>
      </c>
      <c r="E373" s="1">
        <v>6.1567408940804924</v>
      </c>
      <c r="F373" s="1">
        <v>-20.553976718456976</v>
      </c>
      <c r="G373" s="1">
        <v>12.724486832895161</v>
      </c>
    </row>
    <row r="374" spans="2:7" x14ac:dyDescent="0.25">
      <c r="B374" s="1">
        <v>368</v>
      </c>
      <c r="C374" s="1">
        <v>1.5139144818895662</v>
      </c>
      <c r="D374" s="1">
        <v>7.2171221873500873</v>
      </c>
      <c r="E374" s="1">
        <v>-13.099378924365871</v>
      </c>
      <c r="F374" s="1">
        <v>3.9180300703254534</v>
      </c>
      <c r="G374" s="1">
        <v>31.113189581151843</v>
      </c>
    </row>
    <row r="375" spans="2:7" x14ac:dyDescent="0.25">
      <c r="B375" s="1">
        <v>369</v>
      </c>
      <c r="C375" s="1">
        <v>3.7306001007327323</v>
      </c>
      <c r="D375" s="1">
        <v>-1.7976031400981805</v>
      </c>
      <c r="E375" s="1">
        <v>11.293974838307182</v>
      </c>
      <c r="F375" s="1">
        <v>2.0595650888273651</v>
      </c>
      <c r="G375" s="1">
        <v>5.6872957799691379</v>
      </c>
    </row>
    <row r="376" spans="2:7" x14ac:dyDescent="0.25">
      <c r="B376" s="1">
        <v>370</v>
      </c>
      <c r="C376" s="1">
        <v>3.5958639977583124</v>
      </c>
      <c r="D376" s="1">
        <v>-0.45789707628623444</v>
      </c>
      <c r="E376" s="1">
        <v>6.6514928171392542</v>
      </c>
      <c r="F376" s="1">
        <v>-4.2660381699967198</v>
      </c>
      <c r="G376" s="1">
        <v>9.5982010877987491</v>
      </c>
    </row>
    <row r="377" spans="2:7" x14ac:dyDescent="0.25">
      <c r="B377" s="1">
        <v>371</v>
      </c>
      <c r="C377" s="1">
        <v>4.7476867013107196</v>
      </c>
      <c r="D377" s="1">
        <v>-2.8857046375396438</v>
      </c>
      <c r="E377" s="1">
        <v>8.4812293433534229</v>
      </c>
      <c r="F377" s="1">
        <v>9.3444973162087646</v>
      </c>
      <c r="G377" s="1">
        <v>-19.648257055678823</v>
      </c>
    </row>
    <row r="378" spans="2:7" x14ac:dyDescent="0.25">
      <c r="B378" s="1">
        <v>372</v>
      </c>
      <c r="C378" s="1">
        <v>4.8540670839866769</v>
      </c>
      <c r="D378" s="1">
        <v>10.185781224217603</v>
      </c>
      <c r="E378" s="1">
        <v>-1.3000003816770902</v>
      </c>
      <c r="F378" s="1">
        <v>34.251704362759781</v>
      </c>
      <c r="G378" s="1">
        <v>-5.8624288264055329</v>
      </c>
    </row>
    <row r="379" spans="2:7" x14ac:dyDescent="0.25">
      <c r="B379" s="1">
        <v>373</v>
      </c>
      <c r="C379" s="1">
        <v>1.4583987932027602</v>
      </c>
      <c r="D379" s="1">
        <v>-6.3283076626045736</v>
      </c>
      <c r="E379" s="1">
        <v>8.2013162275751839</v>
      </c>
      <c r="F379" s="1">
        <v>7.9323390744508133</v>
      </c>
      <c r="G379" s="1">
        <v>16.503464458271392</v>
      </c>
    </row>
    <row r="380" spans="2:7" x14ac:dyDescent="0.25">
      <c r="B380" s="1">
        <v>374</v>
      </c>
      <c r="C380" s="1">
        <v>-0.42889794311927742</v>
      </c>
      <c r="D380" s="1">
        <v>4.5552247177042293</v>
      </c>
      <c r="E380" s="1">
        <v>-2.3339541448766288</v>
      </c>
      <c r="F380" s="1">
        <v>-0.89293445238392877</v>
      </c>
      <c r="G380" s="1">
        <v>30.89062882147978</v>
      </c>
    </row>
    <row r="381" spans="2:7" x14ac:dyDescent="0.25">
      <c r="B381" s="1">
        <v>375</v>
      </c>
      <c r="C381" s="1">
        <v>1.7049325135632705</v>
      </c>
      <c r="D381" s="1">
        <v>-3.3881283608094108E-2</v>
      </c>
      <c r="E381" s="1">
        <v>6.4281448886364725</v>
      </c>
      <c r="F381" s="1">
        <v>-1.0017881698755748</v>
      </c>
      <c r="G381" s="1">
        <v>2.5785361134108031</v>
      </c>
    </row>
    <row r="382" spans="2:7" x14ac:dyDescent="0.25">
      <c r="B382" s="1">
        <v>376</v>
      </c>
      <c r="C382" s="1">
        <v>1.2855059267705635</v>
      </c>
      <c r="D382" s="1">
        <v>9.956590924917796</v>
      </c>
      <c r="E382" s="1">
        <v>19.938362636086374</v>
      </c>
      <c r="F382" s="1">
        <v>12.405568231135002</v>
      </c>
      <c r="G382" s="1">
        <v>5.5967847617883324</v>
      </c>
    </row>
    <row r="383" spans="2:7" x14ac:dyDescent="0.25">
      <c r="B383" s="1">
        <v>377</v>
      </c>
      <c r="C383" s="1">
        <v>0.85335235064545367</v>
      </c>
      <c r="D383" s="1">
        <v>-0.35413632382797355</v>
      </c>
      <c r="E383" s="1">
        <v>-0.34528348861836516</v>
      </c>
      <c r="F383" s="1">
        <v>-8.9181701414779457</v>
      </c>
      <c r="G383" s="1">
        <v>-5.0540662101760736</v>
      </c>
    </row>
    <row r="384" spans="2:7" x14ac:dyDescent="0.25">
      <c r="B384" s="1">
        <v>378</v>
      </c>
      <c r="C384" s="1">
        <v>-1.1777361831019109</v>
      </c>
      <c r="D384" s="1">
        <v>8.0168507036029713</v>
      </c>
      <c r="E384" s="1">
        <v>4.6571459485273996</v>
      </c>
      <c r="F384" s="1">
        <v>26.497029906268896</v>
      </c>
      <c r="G384" s="1">
        <v>4.4352394735496929</v>
      </c>
    </row>
    <row r="385" spans="2:7" x14ac:dyDescent="0.25">
      <c r="B385" s="1">
        <v>379</v>
      </c>
      <c r="C385" s="1">
        <v>1.1650814508323819</v>
      </c>
      <c r="D385" s="1">
        <v>8.9268654182274396</v>
      </c>
      <c r="E385" s="1">
        <v>5.2078885319100793E-2</v>
      </c>
      <c r="F385" s="1">
        <v>6.1393822775097586</v>
      </c>
      <c r="G385" s="1">
        <v>12.522836341756376</v>
      </c>
    </row>
    <row r="386" spans="2:7" x14ac:dyDescent="0.25">
      <c r="B386" s="1">
        <v>380</v>
      </c>
      <c r="C386" s="1">
        <v>5.878908197645452</v>
      </c>
      <c r="D386" s="1">
        <v>10.649893278208276</v>
      </c>
      <c r="E386" s="1">
        <v>17.791295514139978</v>
      </c>
      <c r="F386" s="1">
        <v>10.09465245344321</v>
      </c>
      <c r="G386" s="1">
        <v>15.67444847691961</v>
      </c>
    </row>
    <row r="387" spans="2:7" x14ac:dyDescent="0.25">
      <c r="B387" s="1">
        <v>381</v>
      </c>
      <c r="C387" s="1">
        <v>9.6209030496511154</v>
      </c>
      <c r="D387" s="1">
        <v>9.9236109144929436</v>
      </c>
      <c r="E387" s="1">
        <v>5.5030346129175127</v>
      </c>
      <c r="F387" s="1">
        <v>2.7475467095988551</v>
      </c>
      <c r="G387" s="1">
        <v>7.81401007278739</v>
      </c>
    </row>
    <row r="388" spans="2:7" x14ac:dyDescent="0.25">
      <c r="B388" s="1">
        <v>382</v>
      </c>
      <c r="C388" s="1">
        <v>2.58542580958507</v>
      </c>
      <c r="D388" s="1">
        <v>10.676320504541374</v>
      </c>
      <c r="E388" s="1">
        <v>8.1771339204793421</v>
      </c>
      <c r="F388" s="1">
        <v>-3.4358611897959093</v>
      </c>
      <c r="G388" s="1">
        <v>0.26932941311779368</v>
      </c>
    </row>
    <row r="389" spans="2:7" x14ac:dyDescent="0.25">
      <c r="B389" s="1">
        <v>383</v>
      </c>
      <c r="C389" s="1">
        <v>3.8003950541345199</v>
      </c>
      <c r="D389" s="1">
        <v>1.3695720274891461</v>
      </c>
      <c r="E389" s="1">
        <v>3.5748940655305876</v>
      </c>
      <c r="F389" s="1">
        <v>8.900239957394275</v>
      </c>
      <c r="G389" s="1">
        <v>-12.99006854146746</v>
      </c>
    </row>
    <row r="390" spans="2:7" x14ac:dyDescent="0.25">
      <c r="B390" s="1">
        <v>384</v>
      </c>
      <c r="C390" s="1">
        <v>0.35387686673040886</v>
      </c>
      <c r="D390" s="1">
        <v>2.8246500107616623</v>
      </c>
      <c r="E390" s="1">
        <v>-4.2085507818020442</v>
      </c>
      <c r="F390" s="1">
        <v>1.3566407239226463</v>
      </c>
      <c r="G390" s="1">
        <v>-0.8001218181879135</v>
      </c>
    </row>
    <row r="391" spans="2:7" x14ac:dyDescent="0.25">
      <c r="B391" s="1">
        <v>385</v>
      </c>
      <c r="C391" s="1">
        <v>-0.39202249644813736</v>
      </c>
      <c r="D391" s="1">
        <v>-2.6384657168850034</v>
      </c>
      <c r="E391" s="1">
        <v>8.1879693965515745</v>
      </c>
      <c r="F391" s="1">
        <v>5.8564918886021999</v>
      </c>
      <c r="G391" s="1">
        <v>20.852513365888907</v>
      </c>
    </row>
    <row r="392" spans="2:7" x14ac:dyDescent="0.25">
      <c r="B392" s="1">
        <v>386</v>
      </c>
      <c r="C392" s="1">
        <v>5.856665056404414</v>
      </c>
      <c r="D392" s="1">
        <v>6.6550275340068259</v>
      </c>
      <c r="E392" s="1">
        <v>7.4735255091627826</v>
      </c>
      <c r="F392" s="1">
        <v>1.2022743570905834</v>
      </c>
      <c r="G392" s="1">
        <v>9.8194678315460902</v>
      </c>
    </row>
    <row r="393" spans="2:7" x14ac:dyDescent="0.25">
      <c r="B393" s="1">
        <v>387</v>
      </c>
      <c r="C393" s="1">
        <v>2.4624144262311889</v>
      </c>
      <c r="D393" s="1">
        <v>3.3529454877804041</v>
      </c>
      <c r="E393" s="1">
        <v>5.790903009211501</v>
      </c>
      <c r="F393" s="1">
        <v>13.090458508154114</v>
      </c>
      <c r="G393" s="1">
        <v>10.847287807238638</v>
      </c>
    </row>
    <row r="394" spans="2:7" x14ac:dyDescent="0.25">
      <c r="B394" s="1">
        <v>388</v>
      </c>
      <c r="C394" s="1">
        <v>7.7081014964181707</v>
      </c>
      <c r="D394" s="1">
        <v>2.3846149014454467</v>
      </c>
      <c r="E394" s="1">
        <v>18.616541635442818</v>
      </c>
      <c r="F394" s="1">
        <v>17.430722208239828</v>
      </c>
      <c r="G394" s="1">
        <v>-5.3203317979228641</v>
      </c>
    </row>
    <row r="395" spans="2:7" x14ac:dyDescent="0.25">
      <c r="B395" s="1">
        <v>389</v>
      </c>
      <c r="C395" s="1">
        <v>0.12031848946644885</v>
      </c>
      <c r="D395" s="1">
        <v>-3.2686102714482677</v>
      </c>
      <c r="E395" s="1">
        <v>2.6982307847072158</v>
      </c>
      <c r="F395" s="1">
        <v>2.5246177285333364</v>
      </c>
      <c r="G395" s="1">
        <v>-9.3125537900049302</v>
      </c>
    </row>
    <row r="396" spans="2:7" x14ac:dyDescent="0.25">
      <c r="B396" s="1">
        <v>390</v>
      </c>
      <c r="C396" s="1">
        <v>5.1205370124952845</v>
      </c>
      <c r="D396" s="1">
        <v>-3.9213320695729328</v>
      </c>
      <c r="E396" s="1">
        <v>-0.81742628113704241</v>
      </c>
      <c r="F396" s="1">
        <v>13.738307657223318</v>
      </c>
      <c r="G396" s="1">
        <v>12.329808299605642</v>
      </c>
    </row>
    <row r="397" spans="2:7" x14ac:dyDescent="0.25">
      <c r="B397" s="1">
        <v>391</v>
      </c>
      <c r="C397" s="1">
        <v>1.2795109194771808</v>
      </c>
      <c r="D397" s="1">
        <v>-0.48022543401846834</v>
      </c>
      <c r="E397" s="1">
        <v>0.41692169461906747</v>
      </c>
      <c r="F397" s="1">
        <v>16.289880330081314</v>
      </c>
      <c r="G397" s="1">
        <v>-5.1173321999028332</v>
      </c>
    </row>
    <row r="398" spans="2:7" x14ac:dyDescent="0.25">
      <c r="B398" s="1">
        <v>392</v>
      </c>
      <c r="C398" s="1">
        <v>6.5748252670011276</v>
      </c>
      <c r="D398" s="1">
        <v>5.2777931179018163</v>
      </c>
      <c r="E398" s="1">
        <v>5.4298448839159699</v>
      </c>
      <c r="F398" s="1">
        <v>-1.2767233017637158</v>
      </c>
      <c r="G398" s="1">
        <v>-0.58781003839739621</v>
      </c>
    </row>
    <row r="399" spans="2:7" x14ac:dyDescent="0.25">
      <c r="B399" s="1">
        <v>393</v>
      </c>
      <c r="C399" s="1">
        <v>5.8675407281123757</v>
      </c>
      <c r="D399" s="1">
        <v>9.0560923309286352</v>
      </c>
      <c r="E399" s="1">
        <v>0.77014040889488877</v>
      </c>
      <c r="F399" s="1">
        <v>1.3722826130001808</v>
      </c>
      <c r="G399" s="1">
        <v>10.65072389883932</v>
      </c>
    </row>
    <row r="400" spans="2:7" x14ac:dyDescent="0.25">
      <c r="B400" s="1">
        <v>394</v>
      </c>
      <c r="C400" s="1">
        <v>0.89469712121602996</v>
      </c>
      <c r="D400" s="1">
        <v>2.9741717585182719</v>
      </c>
      <c r="E400" s="1">
        <v>10.6814578803016</v>
      </c>
      <c r="F400" s="1">
        <v>2.4322903680568291</v>
      </c>
      <c r="G400" s="1">
        <v>2.9123979188752993</v>
      </c>
    </row>
    <row r="401" spans="2:7" x14ac:dyDescent="0.25">
      <c r="B401" s="1">
        <v>395</v>
      </c>
      <c r="C401" s="1">
        <v>2.4826984717026424</v>
      </c>
      <c r="D401" s="1">
        <v>2.461632208044839</v>
      </c>
      <c r="E401" s="1">
        <v>18.624429035698455</v>
      </c>
      <c r="F401" s="1">
        <v>5.4045664945687069</v>
      </c>
      <c r="G401" s="1">
        <v>-10.103500725652166</v>
      </c>
    </row>
    <row r="402" spans="2:7" x14ac:dyDescent="0.25">
      <c r="B402" s="1">
        <v>396</v>
      </c>
      <c r="C402" s="1">
        <v>1.0053902878944712</v>
      </c>
      <c r="D402" s="1">
        <v>5.8451646846032048</v>
      </c>
      <c r="E402" s="1">
        <v>19.312243705130683</v>
      </c>
      <c r="F402" s="1">
        <v>-3.4101552682982472</v>
      </c>
      <c r="G402" s="1">
        <v>20.068713908793676</v>
      </c>
    </row>
    <row r="403" spans="2:7" x14ac:dyDescent="0.25">
      <c r="B403" s="1">
        <v>397</v>
      </c>
      <c r="C403" s="1">
        <v>5.2045411167730231</v>
      </c>
      <c r="D403" s="1">
        <v>-7.2933959913222086</v>
      </c>
      <c r="E403" s="1">
        <v>-2.1966715931248078</v>
      </c>
      <c r="F403" s="1">
        <v>7.2097069044660635</v>
      </c>
      <c r="G403" s="1">
        <v>1.0705725193738971</v>
      </c>
    </row>
    <row r="404" spans="2:7" x14ac:dyDescent="0.25">
      <c r="B404" s="1">
        <v>398</v>
      </c>
      <c r="C404" s="1">
        <v>3.4119086337600537</v>
      </c>
      <c r="D404" s="1">
        <v>-0.39433560259484568</v>
      </c>
      <c r="E404" s="1">
        <v>-5.1722075643096694</v>
      </c>
      <c r="F404" s="1">
        <v>15.231712224284392</v>
      </c>
      <c r="G404" s="1">
        <v>21.059536545352451</v>
      </c>
    </row>
    <row r="405" spans="2:7" x14ac:dyDescent="0.25">
      <c r="B405" s="1">
        <v>399</v>
      </c>
      <c r="C405" s="1">
        <v>6.9576077800540812</v>
      </c>
      <c r="D405" s="1">
        <v>-1.400791450453351</v>
      </c>
      <c r="E405" s="1">
        <v>14.811891189910495</v>
      </c>
      <c r="F405" s="1">
        <v>2.7287246795673163</v>
      </c>
      <c r="G405" s="1">
        <v>2.8864043604238101</v>
      </c>
    </row>
    <row r="406" spans="2:7" x14ac:dyDescent="0.25">
      <c r="B406" s="1">
        <v>400</v>
      </c>
      <c r="C406" s="1">
        <v>-3.3727114470808459</v>
      </c>
      <c r="D406" s="1">
        <v>1.3135408241467315</v>
      </c>
      <c r="E406" s="1">
        <v>-1.6571783876724275</v>
      </c>
      <c r="F406" s="1">
        <v>9.0749478287796652</v>
      </c>
      <c r="G406" s="1">
        <v>25.885484069681244</v>
      </c>
    </row>
    <row r="407" spans="2:7" x14ac:dyDescent="0.25">
      <c r="B407" s="1">
        <v>401</v>
      </c>
      <c r="C407" s="1">
        <v>3.9595879939090519</v>
      </c>
      <c r="D407" s="1">
        <v>4.3562067100428923</v>
      </c>
      <c r="E407" s="1">
        <v>10.019913290063782</v>
      </c>
      <c r="F407" s="1">
        <v>9.9867843917358829</v>
      </c>
      <c r="G407" s="1">
        <v>15.931085273905225</v>
      </c>
    </row>
    <row r="408" spans="2:7" x14ac:dyDescent="0.25">
      <c r="B408" s="1">
        <v>402</v>
      </c>
      <c r="C408" s="1">
        <v>6.0593087507546022</v>
      </c>
      <c r="D408" s="1">
        <v>2.4141868875568071</v>
      </c>
      <c r="E408" s="1">
        <v>3.5280008935090406</v>
      </c>
      <c r="F408" s="1">
        <v>-12.220961468061306</v>
      </c>
      <c r="G408" s="1">
        <v>2.0984862896680614</v>
      </c>
    </row>
    <row r="409" spans="2:7" x14ac:dyDescent="0.25">
      <c r="B409" s="1">
        <v>403</v>
      </c>
      <c r="C409" s="1">
        <v>1.2324071283186793</v>
      </c>
      <c r="D409" s="1">
        <v>4.6913374063403639</v>
      </c>
      <c r="E409" s="1">
        <v>6.2059680917400497</v>
      </c>
      <c r="F409" s="1">
        <v>7.1445654336930557</v>
      </c>
      <c r="G409" s="1">
        <v>9.8487035883858614</v>
      </c>
    </row>
    <row r="410" spans="2:7" x14ac:dyDescent="0.25">
      <c r="B410" s="1">
        <v>404</v>
      </c>
      <c r="C410" s="1">
        <v>4.0293584514456899</v>
      </c>
      <c r="D410" s="1">
        <v>9.2438851665353781</v>
      </c>
      <c r="E410" s="1">
        <v>-0.51855061467162467</v>
      </c>
      <c r="F410" s="1">
        <v>17.838588227535908</v>
      </c>
      <c r="G410" s="1">
        <v>11.656389860000091</v>
      </c>
    </row>
    <row r="411" spans="2:7" x14ac:dyDescent="0.25">
      <c r="B411" s="1">
        <v>405</v>
      </c>
      <c r="C411" s="1">
        <v>4.4216870182816761</v>
      </c>
      <c r="D411" s="1">
        <v>9.2172622184337172</v>
      </c>
      <c r="E411" s="1">
        <v>4.1414200490066246</v>
      </c>
      <c r="F411" s="1">
        <v>1.7913094270459902</v>
      </c>
      <c r="G411" s="1">
        <v>-2.8184848996889524</v>
      </c>
    </row>
    <row r="412" spans="2:7" x14ac:dyDescent="0.25">
      <c r="B412" s="1">
        <v>406</v>
      </c>
      <c r="C412" s="1">
        <v>-1.1801218620854872</v>
      </c>
      <c r="D412" s="1">
        <v>-1.7345945694724949</v>
      </c>
      <c r="E412" s="1">
        <v>-13.236384588580936</v>
      </c>
      <c r="F412" s="1">
        <v>21.874366612986549</v>
      </c>
      <c r="G412" s="1">
        <v>9.6119849136065305</v>
      </c>
    </row>
    <row r="413" spans="2:7" x14ac:dyDescent="0.25">
      <c r="B413" s="1">
        <v>407</v>
      </c>
      <c r="C413" s="1">
        <v>-7.3729573508292567E-2</v>
      </c>
      <c r="D413" s="1">
        <v>-1.6678316834415687</v>
      </c>
      <c r="E413" s="1">
        <v>-12.755881842848583</v>
      </c>
      <c r="F413" s="1">
        <v>2.2568900171785731</v>
      </c>
      <c r="G413" s="1">
        <v>31.425738645439651</v>
      </c>
    </row>
    <row r="414" spans="2:7" x14ac:dyDescent="0.25">
      <c r="B414" s="1">
        <v>408</v>
      </c>
      <c r="C414" s="1">
        <v>7.601490260267898</v>
      </c>
      <c r="D414" s="1">
        <v>6.5793292106789361</v>
      </c>
      <c r="E414" s="1">
        <v>7.8721011556344571</v>
      </c>
      <c r="F414" s="1">
        <v>10.276227183436351</v>
      </c>
      <c r="G414" s="1">
        <v>-5.6723362347413033</v>
      </c>
    </row>
    <row r="415" spans="2:7" x14ac:dyDescent="0.25">
      <c r="B415" s="1">
        <v>409</v>
      </c>
      <c r="C415" s="1">
        <v>0.10033548607537934</v>
      </c>
      <c r="D415" s="1">
        <v>10.046160422182224</v>
      </c>
      <c r="E415" s="1">
        <v>1.6821185233919249</v>
      </c>
      <c r="F415" s="1">
        <v>7.6448755036697662</v>
      </c>
      <c r="G415" s="1">
        <v>-27.770129254011291</v>
      </c>
    </row>
    <row r="416" spans="2:7" x14ac:dyDescent="0.25">
      <c r="B416" s="1">
        <v>410</v>
      </c>
      <c r="C416" s="1">
        <v>4.401455747530167</v>
      </c>
      <c r="D416" s="1">
        <v>12.216600540391848</v>
      </c>
      <c r="E416" s="1">
        <v>2.9432803512147259</v>
      </c>
      <c r="F416" s="1">
        <v>4.7979172718356535</v>
      </c>
      <c r="G416" s="1">
        <v>6.3661660352945617</v>
      </c>
    </row>
    <row r="417" spans="2:7" x14ac:dyDescent="0.25">
      <c r="B417" s="1">
        <v>411</v>
      </c>
      <c r="C417" s="1">
        <v>8.4064617721018458</v>
      </c>
      <c r="D417" s="1">
        <v>7.6514425216034097</v>
      </c>
      <c r="E417" s="1">
        <v>3.5897793849134447</v>
      </c>
      <c r="F417" s="1">
        <v>-4.1308099868573409</v>
      </c>
      <c r="G417" s="1">
        <v>21.391240737937174</v>
      </c>
    </row>
    <row r="418" spans="2:7" x14ac:dyDescent="0.25">
      <c r="B418" s="1">
        <v>412</v>
      </c>
      <c r="C418" s="1">
        <v>7.0722169343132117</v>
      </c>
      <c r="D418" s="1">
        <v>11.437020002499764</v>
      </c>
      <c r="E418" s="1">
        <v>2.9066217233745553</v>
      </c>
      <c r="F418" s="1">
        <v>14.378729264428689</v>
      </c>
      <c r="G418" s="1">
        <v>17.402551173120187</v>
      </c>
    </row>
    <row r="419" spans="2:7" x14ac:dyDescent="0.25">
      <c r="B419" s="1">
        <v>413</v>
      </c>
      <c r="C419" s="1">
        <v>-1.4105392206478862</v>
      </c>
      <c r="D419" s="1">
        <v>-1.0521813344884459</v>
      </c>
      <c r="E419" s="1">
        <v>7.5746967267517542</v>
      </c>
      <c r="F419" s="1">
        <v>5.8777035937522761</v>
      </c>
      <c r="G419" s="1">
        <v>2.7519418695771916</v>
      </c>
    </row>
    <row r="420" spans="2:7" x14ac:dyDescent="0.25">
      <c r="B420" s="1">
        <v>414</v>
      </c>
      <c r="C420" s="1">
        <v>5.7688697645178362</v>
      </c>
      <c r="D420" s="1">
        <v>5.4213306284729974</v>
      </c>
      <c r="E420" s="1">
        <v>11.890369747525394</v>
      </c>
      <c r="F420" s="1">
        <v>-0.8436350983316302</v>
      </c>
      <c r="G420" s="1">
        <v>6.2702298441854598</v>
      </c>
    </row>
    <row r="421" spans="2:7" x14ac:dyDescent="0.25">
      <c r="B421" s="1">
        <v>415</v>
      </c>
      <c r="C421" s="1">
        <v>1.1678963588546498</v>
      </c>
      <c r="D421" s="1">
        <v>6.6290246140938232</v>
      </c>
      <c r="E421" s="1">
        <v>-2.9967085996172012</v>
      </c>
      <c r="F421" s="1">
        <v>2.8192761074867732</v>
      </c>
      <c r="G421" s="1">
        <v>10.036721591975551</v>
      </c>
    </row>
    <row r="422" spans="2:7" x14ac:dyDescent="0.25">
      <c r="B422" s="1">
        <v>416</v>
      </c>
      <c r="C422" s="1">
        <v>6.1788358499804534</v>
      </c>
      <c r="D422" s="1">
        <v>5.4500450225422616</v>
      </c>
      <c r="E422" s="1">
        <v>0.9001221399246977</v>
      </c>
      <c r="F422" s="1">
        <v>14.912162338085185</v>
      </c>
      <c r="G422" s="1">
        <v>16.066819875187008</v>
      </c>
    </row>
    <row r="423" spans="2:7" x14ac:dyDescent="0.25">
      <c r="B423" s="1">
        <v>417</v>
      </c>
      <c r="C423" s="1">
        <v>2.3556505451917564</v>
      </c>
      <c r="D423" s="1">
        <v>9.4759329649599167</v>
      </c>
      <c r="E423" s="1">
        <v>1.8386941617351131</v>
      </c>
      <c r="F423" s="1">
        <v>-1.7480798869279139</v>
      </c>
      <c r="G423" s="1">
        <v>-6.2133547853472519</v>
      </c>
    </row>
    <row r="424" spans="2:7" x14ac:dyDescent="0.25">
      <c r="B424" s="1">
        <v>418</v>
      </c>
      <c r="C424" s="1">
        <v>4.6746762586373407</v>
      </c>
      <c r="D424" s="1">
        <v>10.293071444653179</v>
      </c>
      <c r="E424" s="1">
        <v>0.17673714840692861</v>
      </c>
      <c r="F424" s="1">
        <v>-6.5197479746318443</v>
      </c>
      <c r="G424" s="1">
        <v>-0.6314806160662404</v>
      </c>
    </row>
    <row r="425" spans="2:7" x14ac:dyDescent="0.25">
      <c r="B425" s="1">
        <v>419</v>
      </c>
      <c r="C425" s="1">
        <v>6.4346115095755492</v>
      </c>
      <c r="D425" s="1">
        <v>2.1862362683139112</v>
      </c>
      <c r="E425" s="1">
        <v>14.401551365617395</v>
      </c>
      <c r="F425" s="1">
        <v>15.660349057057159</v>
      </c>
      <c r="G425" s="1">
        <v>0.4304025453231663</v>
      </c>
    </row>
    <row r="426" spans="2:7" x14ac:dyDescent="0.25">
      <c r="B426" s="1">
        <v>420</v>
      </c>
      <c r="C426" s="1">
        <v>1.5372499267080775</v>
      </c>
      <c r="D426" s="1">
        <v>1.9523294643188325</v>
      </c>
      <c r="E426" s="1">
        <v>-6.0156309788540234</v>
      </c>
      <c r="F426" s="1">
        <v>-2.8047560841025234</v>
      </c>
      <c r="G426" s="1">
        <v>2.3298324661560055</v>
      </c>
    </row>
    <row r="427" spans="2:7" x14ac:dyDescent="0.25">
      <c r="B427" s="1">
        <v>421</v>
      </c>
      <c r="C427" s="1">
        <v>3.8404906333145346</v>
      </c>
      <c r="D427" s="1">
        <v>6.3761406464632211</v>
      </c>
      <c r="E427" s="1">
        <v>-0.93606586353724375</v>
      </c>
      <c r="F427" s="1">
        <v>1.2197998724769403</v>
      </c>
      <c r="G427" s="1">
        <v>0.2404946764482882</v>
      </c>
    </row>
    <row r="428" spans="2:7" x14ac:dyDescent="0.25">
      <c r="B428" s="1">
        <v>422</v>
      </c>
      <c r="C428" s="1">
        <v>1.1063388016217144</v>
      </c>
      <c r="D428" s="1">
        <v>5.0714360885599072</v>
      </c>
      <c r="E428" s="1">
        <v>-0.14141355054450347</v>
      </c>
      <c r="F428" s="1">
        <v>6.7216067326982669</v>
      </c>
      <c r="G428" s="1">
        <v>7.3460804174748651</v>
      </c>
    </row>
    <row r="429" spans="2:7" x14ac:dyDescent="0.25">
      <c r="B429" s="1">
        <v>423</v>
      </c>
      <c r="C429" s="1">
        <v>-0.4822276408850783</v>
      </c>
      <c r="D429" s="1">
        <v>-2.4080236335341647</v>
      </c>
      <c r="E429" s="1">
        <v>6.33108692685982</v>
      </c>
      <c r="F429" s="1">
        <v>-10.029266339330876</v>
      </c>
      <c r="G429" s="1">
        <v>1.9109980056176223</v>
      </c>
    </row>
    <row r="430" spans="2:7" x14ac:dyDescent="0.25">
      <c r="B430" s="1">
        <v>424</v>
      </c>
      <c r="C430" s="1">
        <v>4.2798498712850934</v>
      </c>
      <c r="D430" s="1">
        <v>16.672018036128037</v>
      </c>
      <c r="E430" s="1">
        <v>8.1153343823044732</v>
      </c>
      <c r="F430" s="1">
        <v>1.7253613828760646</v>
      </c>
      <c r="G430" s="1">
        <v>15.986602944102142</v>
      </c>
    </row>
    <row r="431" spans="2:7" x14ac:dyDescent="0.25">
      <c r="B431" s="1">
        <v>425</v>
      </c>
      <c r="C431" s="1">
        <v>3.4184908258704212</v>
      </c>
      <c r="D431" s="1">
        <v>11.991604526282069</v>
      </c>
      <c r="E431" s="1">
        <v>11.024052698133106</v>
      </c>
      <c r="F431" s="1">
        <v>15.962671228736982</v>
      </c>
      <c r="G431" s="1">
        <v>0.95411987218475236</v>
      </c>
    </row>
    <row r="432" spans="2:7" x14ac:dyDescent="0.25">
      <c r="B432" s="1">
        <v>426</v>
      </c>
      <c r="C432" s="1">
        <v>-1.822646842310216</v>
      </c>
      <c r="D432" s="1">
        <v>9.0103105445653693</v>
      </c>
      <c r="E432" s="1">
        <v>8.9995413147652652</v>
      </c>
      <c r="F432" s="1">
        <v>-2.2944012043930866</v>
      </c>
      <c r="G432" s="1">
        <v>-7.4752254934541931</v>
      </c>
    </row>
    <row r="433" spans="2:7" x14ac:dyDescent="0.25">
      <c r="B433" s="1">
        <v>427</v>
      </c>
      <c r="C433" s="1">
        <v>5.984997861123623</v>
      </c>
      <c r="D433" s="1">
        <v>12.769968883366221</v>
      </c>
      <c r="E433" s="1">
        <v>14.573313848763117</v>
      </c>
      <c r="F433" s="1">
        <v>-1.4817963887245136</v>
      </c>
      <c r="G433" s="1">
        <v>11.357804488663788</v>
      </c>
    </row>
    <row r="434" spans="2:7" x14ac:dyDescent="0.25">
      <c r="B434" s="1">
        <v>428</v>
      </c>
      <c r="C434" s="1">
        <v>7.9553269854044766</v>
      </c>
      <c r="D434" s="1">
        <v>-1.4274507579894467</v>
      </c>
      <c r="E434" s="1">
        <v>1.5162886211070343</v>
      </c>
      <c r="F434" s="1">
        <v>3.9241360555906666</v>
      </c>
      <c r="G434" s="1">
        <v>3.9213020340469793</v>
      </c>
    </row>
    <row r="435" spans="2:7" x14ac:dyDescent="0.25">
      <c r="B435" s="1">
        <v>429</v>
      </c>
      <c r="C435" s="1">
        <v>-1.377396564572547</v>
      </c>
      <c r="D435" s="1">
        <v>5.7780460108047329</v>
      </c>
      <c r="E435" s="1">
        <v>-2.1468040441514078</v>
      </c>
      <c r="F435" s="1">
        <v>7.3615470920622004</v>
      </c>
      <c r="G435" s="1">
        <v>-10.469275265549051</v>
      </c>
    </row>
    <row r="436" spans="2:7" x14ac:dyDescent="0.25">
      <c r="B436" s="1">
        <v>430</v>
      </c>
      <c r="C436" s="1">
        <v>2.5929612556117325</v>
      </c>
      <c r="D436" s="1">
        <v>3.8172139523100435</v>
      </c>
      <c r="E436" s="1">
        <v>10.253524070911679</v>
      </c>
      <c r="F436" s="1">
        <v>8.8003319425333846</v>
      </c>
      <c r="G436" s="1">
        <v>14.079061064730109</v>
      </c>
    </row>
    <row r="437" spans="2:7" x14ac:dyDescent="0.25">
      <c r="B437" s="1">
        <v>431</v>
      </c>
      <c r="C437" s="1">
        <v>1.5897602911216904</v>
      </c>
      <c r="D437" s="1">
        <v>13.503305212368087</v>
      </c>
      <c r="E437" s="1">
        <v>-3.8364595372138992</v>
      </c>
      <c r="F437" s="1">
        <v>2.9751441751199574</v>
      </c>
      <c r="G437" s="1">
        <v>11.127737495045068</v>
      </c>
    </row>
    <row r="438" spans="2:7" x14ac:dyDescent="0.25">
      <c r="B438" s="1">
        <v>432</v>
      </c>
      <c r="C438" s="1">
        <v>8.0698774282363352</v>
      </c>
      <c r="D438" s="1">
        <v>8.7620349179164396</v>
      </c>
      <c r="E438" s="1">
        <v>11.203679927428887</v>
      </c>
      <c r="F438" s="1">
        <v>8.962267276104523</v>
      </c>
      <c r="G438" s="1">
        <v>-5.5491835934025238</v>
      </c>
    </row>
    <row r="439" spans="2:7" x14ac:dyDescent="0.25">
      <c r="B439" s="1">
        <v>433</v>
      </c>
      <c r="C439" s="1">
        <v>3.9706334278497195</v>
      </c>
      <c r="D439" s="1">
        <v>-6.4950410256137499</v>
      </c>
      <c r="E439" s="1">
        <v>-7.848831996034253</v>
      </c>
      <c r="F439" s="1">
        <v>11.210048071276738</v>
      </c>
      <c r="G439" s="1">
        <v>7.2956077645448119</v>
      </c>
    </row>
    <row r="440" spans="2:7" x14ac:dyDescent="0.25">
      <c r="B440" s="1">
        <v>434</v>
      </c>
      <c r="C440" s="1">
        <v>6.6008020473471074</v>
      </c>
      <c r="D440" s="1">
        <v>1.5204447018968807</v>
      </c>
      <c r="E440" s="1">
        <v>3.2714050189474637</v>
      </c>
      <c r="F440" s="1">
        <v>21.695626997384796</v>
      </c>
      <c r="G440" s="1">
        <v>11.733447094473352</v>
      </c>
    </row>
    <row r="441" spans="2:7" x14ac:dyDescent="0.25">
      <c r="B441" s="1">
        <v>435</v>
      </c>
      <c r="C441" s="1">
        <v>-1.0354605096037695</v>
      </c>
      <c r="D441" s="1">
        <v>2.0490938460258272</v>
      </c>
      <c r="E441" s="1">
        <v>5.5080796001082212E-2</v>
      </c>
      <c r="F441" s="1">
        <v>-6.7456544094120057</v>
      </c>
      <c r="G441" s="1">
        <v>8.2787000931213388</v>
      </c>
    </row>
    <row r="442" spans="2:7" x14ac:dyDescent="0.25">
      <c r="B442" s="1">
        <v>436</v>
      </c>
      <c r="C442" s="1">
        <v>5.2436872525315934</v>
      </c>
      <c r="D442" s="1">
        <v>14.283271423805161</v>
      </c>
      <c r="E442" s="1">
        <v>1.6901113719551928</v>
      </c>
      <c r="F442" s="1">
        <v>10.0464934668226</v>
      </c>
      <c r="G442" s="1">
        <v>22.710733090790448</v>
      </c>
    </row>
    <row r="443" spans="2:7" x14ac:dyDescent="0.25">
      <c r="B443" s="1">
        <v>437</v>
      </c>
      <c r="C443" s="1">
        <v>5.0457286327337396</v>
      </c>
      <c r="D443" s="1">
        <v>5.7149732741336576</v>
      </c>
      <c r="E443" s="1">
        <v>6.8272064495290783</v>
      </c>
      <c r="F443" s="1">
        <v>15.319516622031214</v>
      </c>
      <c r="G443" s="1">
        <v>1.9718030458464559</v>
      </c>
    </row>
    <row r="444" spans="2:7" x14ac:dyDescent="0.25">
      <c r="B444" s="1">
        <v>438</v>
      </c>
      <c r="C444" s="1">
        <v>2.8510214223642154</v>
      </c>
      <c r="D444" s="1">
        <v>7.7273099760195674</v>
      </c>
      <c r="E444" s="1">
        <v>10.972269156439499</v>
      </c>
      <c r="F444" s="1">
        <v>-4.004085218725483</v>
      </c>
      <c r="G444" s="1">
        <v>14.305955393552184</v>
      </c>
    </row>
    <row r="445" spans="2:7" x14ac:dyDescent="0.25">
      <c r="B445" s="1">
        <v>439</v>
      </c>
      <c r="C445" s="1">
        <v>-1.6029565957527154</v>
      </c>
      <c r="D445" s="1">
        <v>-0.3190001705117515</v>
      </c>
      <c r="E445" s="1">
        <v>-4.6564204060392305</v>
      </c>
      <c r="F445" s="1">
        <v>1.4625460573683366</v>
      </c>
      <c r="G445" s="1">
        <v>4.469235325138766</v>
      </c>
    </row>
    <row r="446" spans="2:7" x14ac:dyDescent="0.25">
      <c r="B446" s="1">
        <v>440</v>
      </c>
      <c r="C446" s="1">
        <v>3.649706565738331</v>
      </c>
      <c r="D446" s="1">
        <v>2.1501379720982783</v>
      </c>
      <c r="E446" s="1">
        <v>6.4351821136878469</v>
      </c>
      <c r="F446" s="1">
        <v>-7.7703582495554766</v>
      </c>
      <c r="G446" s="1">
        <v>-0.58104439905824501</v>
      </c>
    </row>
    <row r="447" spans="2:7" x14ac:dyDescent="0.25">
      <c r="B447" s="1">
        <v>441</v>
      </c>
      <c r="C447" s="1">
        <v>4.0337927395475806</v>
      </c>
      <c r="D447" s="1">
        <v>0.25466294224847064</v>
      </c>
      <c r="E447" s="1">
        <v>15.337935802372719</v>
      </c>
      <c r="F447" s="1">
        <v>-2.4317895598173238</v>
      </c>
      <c r="G447" s="1">
        <v>10.815365606645958</v>
      </c>
    </row>
    <row r="448" spans="2:7" x14ac:dyDescent="0.25">
      <c r="B448" s="1">
        <v>442</v>
      </c>
      <c r="C448" s="1">
        <v>3.3617742723938404</v>
      </c>
      <c r="D448" s="1">
        <v>0.19428817673740942</v>
      </c>
      <c r="E448" s="1">
        <v>13.873612740911707</v>
      </c>
      <c r="F448" s="1">
        <v>0.1290209456436828</v>
      </c>
      <c r="G448" s="1">
        <v>14.083114703486293</v>
      </c>
    </row>
    <row r="449" spans="2:7" x14ac:dyDescent="0.25">
      <c r="B449" s="1">
        <v>443</v>
      </c>
      <c r="C449" s="1">
        <v>8.9102802321452224</v>
      </c>
      <c r="D449" s="1">
        <v>5.8974713030319705</v>
      </c>
      <c r="E449" s="1">
        <v>14.480466585180222</v>
      </c>
      <c r="F449" s="1">
        <v>6.7296125928755774</v>
      </c>
      <c r="G449" s="1">
        <v>15.874308297537189</v>
      </c>
    </row>
    <row r="450" spans="2:7" x14ac:dyDescent="0.25">
      <c r="B450" s="1">
        <v>444</v>
      </c>
      <c r="C450" s="1">
        <v>2.6929175733556798</v>
      </c>
      <c r="D450" s="1">
        <v>5.2820039186453567</v>
      </c>
      <c r="E450" s="1">
        <v>2.7262479028007696</v>
      </c>
      <c r="F450" s="1">
        <v>-1.2061245836007073</v>
      </c>
      <c r="G450" s="1">
        <v>13.118419119434321</v>
      </c>
    </row>
    <row r="451" spans="2:7" x14ac:dyDescent="0.25">
      <c r="B451" s="1">
        <v>445</v>
      </c>
      <c r="C451" s="1">
        <v>2.7944350076222415</v>
      </c>
      <c r="D451" s="1">
        <v>7.1741276953876074</v>
      </c>
      <c r="E451" s="1">
        <v>12.050484700587262</v>
      </c>
      <c r="F451" s="1">
        <v>-5.099833416174028E-2</v>
      </c>
      <c r="G451" s="1">
        <v>9.5041569009620819</v>
      </c>
    </row>
    <row r="452" spans="2:7" x14ac:dyDescent="0.25">
      <c r="B452" s="1">
        <v>446</v>
      </c>
      <c r="C452" s="1">
        <v>0.62286769580761092</v>
      </c>
      <c r="D452" s="1">
        <v>10.757120679249669</v>
      </c>
      <c r="E452" s="1">
        <v>4.6894239310058907</v>
      </c>
      <c r="F452" s="1">
        <v>2.7483813273016597</v>
      </c>
      <c r="G452" s="1">
        <v>9.5495565646074692</v>
      </c>
    </row>
    <row r="453" spans="2:7" x14ac:dyDescent="0.25">
      <c r="B453" s="1">
        <v>447</v>
      </c>
      <c r="C453" s="1">
        <v>2.8642694520939393</v>
      </c>
      <c r="D453" s="1">
        <v>5.5335054328703315</v>
      </c>
      <c r="E453" s="1">
        <v>4.4544198906099819</v>
      </c>
      <c r="F453" s="1">
        <v>5.0765352463186444</v>
      </c>
      <c r="G453" s="1">
        <v>3.8194478079343837</v>
      </c>
    </row>
    <row r="454" spans="2:7" x14ac:dyDescent="0.25">
      <c r="B454" s="1">
        <v>448</v>
      </c>
      <c r="C454" s="1">
        <v>2.392332569073071</v>
      </c>
      <c r="D454" s="1">
        <v>5.6739564912312073</v>
      </c>
      <c r="E454" s="1">
        <v>-3.7313252456525712</v>
      </c>
      <c r="F454" s="1">
        <v>0.25110119265601566</v>
      </c>
      <c r="G454" s="1">
        <v>-6.2362929921079102</v>
      </c>
    </row>
    <row r="455" spans="2:7" x14ac:dyDescent="0.25">
      <c r="B455" s="1">
        <v>449</v>
      </c>
      <c r="C455" s="1">
        <v>2.3761307298852774</v>
      </c>
      <c r="D455" s="1">
        <v>-2.3884859574941877</v>
      </c>
      <c r="E455" s="1">
        <v>7.6462484740309415</v>
      </c>
      <c r="F455" s="1">
        <v>-5.3418554110281731</v>
      </c>
      <c r="G455" s="1">
        <v>16.25174405620827</v>
      </c>
    </row>
    <row r="456" spans="2:7" x14ac:dyDescent="0.25">
      <c r="B456" s="1">
        <v>450</v>
      </c>
      <c r="C456" s="1">
        <v>1.0922003685304478</v>
      </c>
      <c r="D456" s="1">
        <v>-4.8088602397688263</v>
      </c>
      <c r="E456" s="1">
        <v>-5.4041114951678875</v>
      </c>
      <c r="F456" s="1">
        <v>4.3451622053204941</v>
      </c>
      <c r="G456" s="1">
        <v>-12.32777547857674</v>
      </c>
    </row>
    <row r="457" spans="2:7" x14ac:dyDescent="0.25">
      <c r="B457" s="1">
        <v>451</v>
      </c>
      <c r="C457" s="1">
        <v>2.1802683464477104</v>
      </c>
      <c r="D457" s="1">
        <v>3.1739318709966629</v>
      </c>
      <c r="E457" s="1">
        <v>12.83885380037732</v>
      </c>
      <c r="F457" s="1">
        <v>10.286304739417435</v>
      </c>
      <c r="G457" s="1">
        <v>12.151879112915577</v>
      </c>
    </row>
    <row r="458" spans="2:7" x14ac:dyDescent="0.25">
      <c r="B458" s="1">
        <v>452</v>
      </c>
      <c r="C458" s="1">
        <v>4.3953940837305971E-2</v>
      </c>
      <c r="D458" s="1">
        <v>8.5377077629097418</v>
      </c>
      <c r="E458" s="1">
        <v>-12.311106219840841</v>
      </c>
      <c r="F458" s="1">
        <v>0.33685599051990212</v>
      </c>
      <c r="G458" s="1">
        <v>7.7089155061134917</v>
      </c>
    </row>
    <row r="459" spans="2:7" x14ac:dyDescent="0.25">
      <c r="B459" s="1">
        <v>453</v>
      </c>
      <c r="C459" s="1">
        <v>2.3348839036129538</v>
      </c>
      <c r="D459" s="1">
        <v>0.82488927725095895</v>
      </c>
      <c r="E459" s="1">
        <v>8.3260541659196434</v>
      </c>
      <c r="F459" s="1">
        <v>-10.449362778433603</v>
      </c>
      <c r="G459" s="1">
        <v>-15.903382152207756</v>
      </c>
    </row>
    <row r="460" spans="2:7" x14ac:dyDescent="0.25">
      <c r="B460" s="1">
        <v>454</v>
      </c>
      <c r="C460" s="1">
        <v>-1.1503449689115053</v>
      </c>
      <c r="D460" s="1">
        <v>-0.44247947865268505</v>
      </c>
      <c r="E460" s="1">
        <v>-0.20552852019113715</v>
      </c>
      <c r="F460" s="1">
        <v>16.155923147186694</v>
      </c>
      <c r="G460" s="1">
        <v>14.459708416341011</v>
      </c>
    </row>
    <row r="461" spans="2:7" x14ac:dyDescent="0.25">
      <c r="B461" s="1">
        <v>455</v>
      </c>
      <c r="C461" s="1">
        <v>5.2314649661365937</v>
      </c>
      <c r="D461" s="1">
        <v>-3.913725320161531</v>
      </c>
      <c r="E461" s="1">
        <v>4.0306013599753934</v>
      </c>
      <c r="F461" s="1">
        <v>-6.4708355332429361</v>
      </c>
      <c r="G461" s="1">
        <v>8.5387724264624296</v>
      </c>
    </row>
    <row r="462" spans="2:7" x14ac:dyDescent="0.25">
      <c r="B462" s="1">
        <v>456</v>
      </c>
      <c r="C462" s="1">
        <v>3.8073138497206802</v>
      </c>
      <c r="D462" s="1">
        <v>7.621684123701689</v>
      </c>
      <c r="E462" s="1">
        <v>5.7526995755219357</v>
      </c>
      <c r="F462" s="1">
        <v>3.3042482636074602</v>
      </c>
      <c r="G462" s="1">
        <v>8.157597143901997</v>
      </c>
    </row>
    <row r="463" spans="2:7" x14ac:dyDescent="0.25">
      <c r="B463" s="1">
        <v>457</v>
      </c>
      <c r="C463" s="1">
        <v>3.6036082900221489</v>
      </c>
      <c r="D463" s="1">
        <v>-0.34275336355594821</v>
      </c>
      <c r="E463" s="1">
        <v>-3.3194745402497943</v>
      </c>
      <c r="F463" s="1">
        <v>5.3379121150903188</v>
      </c>
      <c r="G463" s="1">
        <v>19.775131673117354</v>
      </c>
    </row>
    <row r="464" spans="2:7" x14ac:dyDescent="0.25">
      <c r="B464" s="1">
        <v>458</v>
      </c>
      <c r="C464" s="1">
        <v>6.2279441903779063</v>
      </c>
      <c r="D464" s="1">
        <v>13.794757488679569</v>
      </c>
      <c r="E464" s="1">
        <v>-8.0576531015577775</v>
      </c>
      <c r="F464" s="1">
        <v>5.3127893090995935</v>
      </c>
      <c r="G464" s="1">
        <v>4.8534989479438799</v>
      </c>
    </row>
    <row r="465" spans="2:7" x14ac:dyDescent="0.25">
      <c r="B465" s="1">
        <v>459</v>
      </c>
      <c r="C465" s="1">
        <v>1.2834551297367529</v>
      </c>
      <c r="D465" s="1">
        <v>-1.9228150523476399</v>
      </c>
      <c r="E465" s="1">
        <v>-2.0481975330059532</v>
      </c>
      <c r="F465" s="1">
        <v>9.7400682394654545</v>
      </c>
      <c r="G465" s="1">
        <v>-2.3887376450391535</v>
      </c>
    </row>
    <row r="466" spans="2:7" x14ac:dyDescent="0.25">
      <c r="B466" s="1">
        <v>460</v>
      </c>
      <c r="C466" s="1">
        <v>5.2226883114474028</v>
      </c>
      <c r="D466" s="1">
        <v>2.6069872641245908</v>
      </c>
      <c r="E466" s="1">
        <v>18.360719389784418</v>
      </c>
      <c r="F466" s="1">
        <v>-7.1957641006355892</v>
      </c>
      <c r="G466" s="1">
        <v>11.887434694837268</v>
      </c>
    </row>
    <row r="467" spans="2:7" x14ac:dyDescent="0.25">
      <c r="B467" s="1">
        <v>461</v>
      </c>
      <c r="C467" s="1">
        <v>4.8917091143212144</v>
      </c>
      <c r="D467" s="1">
        <v>6.1887397048950055</v>
      </c>
      <c r="E467" s="1">
        <v>5.7298914441558937</v>
      </c>
      <c r="F467" s="1">
        <v>-1.8660651495730086E-2</v>
      </c>
      <c r="G467" s="1">
        <v>6.4126697506853123</v>
      </c>
    </row>
    <row r="468" spans="2:7" x14ac:dyDescent="0.25">
      <c r="B468" s="1">
        <v>462</v>
      </c>
      <c r="C468" s="1">
        <v>3.8603400293966956</v>
      </c>
      <c r="D468" s="1">
        <v>-6.2661320782220757</v>
      </c>
      <c r="E468" s="1">
        <v>-5.8482418714149116</v>
      </c>
      <c r="F468" s="1">
        <v>10.842850572776092</v>
      </c>
      <c r="G468" s="1">
        <v>2.4697158020423227</v>
      </c>
    </row>
    <row r="469" spans="2:7" x14ac:dyDescent="0.25">
      <c r="B469" s="1">
        <v>463</v>
      </c>
      <c r="C469" s="1">
        <v>4.6946753306324336</v>
      </c>
      <c r="D469" s="1">
        <v>-1.0514403620102251</v>
      </c>
      <c r="E469" s="1">
        <v>-6.2871578798894889</v>
      </c>
      <c r="F469" s="1">
        <v>3.9274943944056413</v>
      </c>
      <c r="G469" s="1">
        <v>7.3134341043256734</v>
      </c>
    </row>
    <row r="470" spans="2:7" x14ac:dyDescent="0.25">
      <c r="B470" s="1">
        <v>464</v>
      </c>
      <c r="C470" s="1">
        <v>2.5211916175992153</v>
      </c>
      <c r="D470" s="1">
        <v>9.5748603535438885</v>
      </c>
      <c r="E470" s="1">
        <v>10.443211378677121</v>
      </c>
      <c r="F470" s="1">
        <v>8.2557400274949497</v>
      </c>
      <c r="G470" s="1">
        <v>-7.58860146258748</v>
      </c>
    </row>
    <row r="471" spans="2:7" x14ac:dyDescent="0.25">
      <c r="B471" s="1">
        <v>465</v>
      </c>
      <c r="C471" s="1">
        <v>-0.65499450524261382</v>
      </c>
      <c r="D471" s="1">
        <v>-0.75013447694949031</v>
      </c>
      <c r="E471" s="1">
        <v>-4.8014055923978534</v>
      </c>
      <c r="F471" s="1">
        <v>10.774329373020246</v>
      </c>
      <c r="G471" s="1">
        <v>-20.034509840522148</v>
      </c>
    </row>
    <row r="472" spans="2:7" x14ac:dyDescent="0.25">
      <c r="B472" s="1">
        <v>466</v>
      </c>
      <c r="C472" s="1">
        <v>13.159174190211262</v>
      </c>
      <c r="D472" s="1">
        <v>14.995335772126294</v>
      </c>
      <c r="E472" s="1">
        <v>-4.298772579905104</v>
      </c>
      <c r="F472" s="1">
        <v>15.855189085371727</v>
      </c>
      <c r="G472" s="1">
        <v>25.120820092813105</v>
      </c>
    </row>
    <row r="473" spans="2:7" x14ac:dyDescent="0.25">
      <c r="B473" s="1">
        <v>467</v>
      </c>
      <c r="C473" s="1">
        <v>3.4503575624623926</v>
      </c>
      <c r="D473" s="1">
        <v>1.4158695694487224</v>
      </c>
      <c r="E473" s="1">
        <v>9.7110007178890836</v>
      </c>
      <c r="F473" s="1">
        <v>8.9184708299740496</v>
      </c>
      <c r="G473" s="1">
        <v>11.420739487300791</v>
      </c>
    </row>
    <row r="474" spans="2:7" x14ac:dyDescent="0.25">
      <c r="B474" s="1">
        <v>468</v>
      </c>
      <c r="C474" s="1">
        <v>2.8307142250984221</v>
      </c>
      <c r="D474" s="1">
        <v>3.0613437428324994</v>
      </c>
      <c r="E474" s="1">
        <v>-0.98663305975187932</v>
      </c>
      <c r="F474" s="1">
        <v>1.1101745125746061</v>
      </c>
      <c r="G474" s="1">
        <v>9.3634869932228675</v>
      </c>
    </row>
    <row r="475" spans="2:7" x14ac:dyDescent="0.25">
      <c r="B475" s="1">
        <v>469</v>
      </c>
      <c r="C475" s="1">
        <v>5.4558912273077365</v>
      </c>
      <c r="D475" s="1">
        <v>4.9634038842128403</v>
      </c>
      <c r="E475" s="1">
        <v>11.980045432272224</v>
      </c>
      <c r="F475" s="1">
        <v>-4.6155868977192407</v>
      </c>
      <c r="G475" s="1">
        <v>2.2997473834533868</v>
      </c>
    </row>
    <row r="476" spans="2:7" x14ac:dyDescent="0.25">
      <c r="B476" s="1">
        <v>470</v>
      </c>
      <c r="C476" s="1">
        <v>1.5955188575916273</v>
      </c>
      <c r="D476" s="1">
        <v>-2.6928114517506283</v>
      </c>
      <c r="E476" s="1">
        <v>-2.5394780478760284</v>
      </c>
      <c r="F476" s="1">
        <v>-23.152154937976828</v>
      </c>
      <c r="G476" s="1">
        <v>-9.1371292389635013</v>
      </c>
    </row>
    <row r="477" spans="2:7" x14ac:dyDescent="0.25">
      <c r="B477" s="1">
        <v>471</v>
      </c>
      <c r="C477" s="1">
        <v>5.3264071841869489</v>
      </c>
      <c r="D477" s="1">
        <v>12.464649734901945</v>
      </c>
      <c r="E477" s="1">
        <v>6.4940941091057605</v>
      </c>
      <c r="F477" s="1">
        <v>11.662414497053994</v>
      </c>
      <c r="G477" s="1">
        <v>23.390535946176765</v>
      </c>
    </row>
    <row r="478" spans="2:7" x14ac:dyDescent="0.25">
      <c r="B478" s="1">
        <v>472</v>
      </c>
      <c r="C478" s="1">
        <v>8.797439552061741</v>
      </c>
      <c r="D478" s="1">
        <v>2.3574258046071099</v>
      </c>
      <c r="E478" s="1">
        <v>15.289184357012653</v>
      </c>
      <c r="F478" s="1">
        <v>-3.1141652497904788</v>
      </c>
      <c r="G478" s="1">
        <v>-9.7186991234809241</v>
      </c>
    </row>
    <row r="479" spans="2:7" x14ac:dyDescent="0.25">
      <c r="B479" s="1">
        <v>473</v>
      </c>
      <c r="C479" s="1">
        <v>8.5256830533435242</v>
      </c>
      <c r="D479" s="1">
        <v>13.35558021700786</v>
      </c>
      <c r="E479" s="1">
        <v>4.1488537796888583</v>
      </c>
      <c r="F479" s="1">
        <v>9.3290312983926764</v>
      </c>
      <c r="G479" s="1">
        <v>-12.480366414626955</v>
      </c>
    </row>
    <row r="480" spans="2:7" x14ac:dyDescent="0.25">
      <c r="B480" s="1">
        <v>474</v>
      </c>
      <c r="C480" s="1">
        <v>-2.089745704326937</v>
      </c>
      <c r="D480" s="1">
        <v>3.2318659841869</v>
      </c>
      <c r="E480" s="1">
        <v>0.59932746833732176</v>
      </c>
      <c r="F480" s="1">
        <v>8.0911100586821583</v>
      </c>
      <c r="G480" s="1">
        <v>4.7056077749060975E-2</v>
      </c>
    </row>
    <row r="481" spans="2:7" x14ac:dyDescent="0.25">
      <c r="B481" s="1">
        <v>475</v>
      </c>
      <c r="C481" s="1">
        <v>2.5176696170757498</v>
      </c>
      <c r="D481" s="1">
        <v>13.797630744325211</v>
      </c>
      <c r="E481" s="1">
        <v>-6.569970087237424</v>
      </c>
      <c r="F481" s="1">
        <v>-7.5010284159023319</v>
      </c>
      <c r="G481" s="1">
        <v>8.8071041344617189</v>
      </c>
    </row>
    <row r="482" spans="2:7" x14ac:dyDescent="0.25">
      <c r="B482" s="1">
        <v>476</v>
      </c>
      <c r="C482" s="1">
        <v>7.9685416561222047</v>
      </c>
      <c r="D482" s="1">
        <v>0.87376302917965021</v>
      </c>
      <c r="E482" s="1">
        <v>7.1186929860064181</v>
      </c>
      <c r="F482" s="1">
        <v>10.208206935570349</v>
      </c>
      <c r="G482" s="1">
        <v>28.22484656389727</v>
      </c>
    </row>
    <row r="483" spans="2:7" x14ac:dyDescent="0.25">
      <c r="B483" s="1">
        <v>477</v>
      </c>
      <c r="C483" s="1">
        <v>7.1684769401041528</v>
      </c>
      <c r="D483" s="1">
        <v>-4.1712092410190982</v>
      </c>
      <c r="E483" s="1">
        <v>-13.132755091175598</v>
      </c>
      <c r="F483" s="1">
        <v>14.478803511780978</v>
      </c>
      <c r="G483" s="1">
        <v>11.585409875146039</v>
      </c>
    </row>
    <row r="484" spans="2:7" x14ac:dyDescent="0.25">
      <c r="B484" s="1">
        <v>478</v>
      </c>
      <c r="C484" s="1">
        <v>5.8010404931804018</v>
      </c>
      <c r="D484" s="1">
        <v>8.7920300960165143</v>
      </c>
      <c r="E484" s="1">
        <v>5.5202018513475606</v>
      </c>
      <c r="F484" s="1">
        <v>-10.822495209164151</v>
      </c>
      <c r="G484" s="1">
        <v>20.612344258130374</v>
      </c>
    </row>
    <row r="485" spans="2:7" x14ac:dyDescent="0.25">
      <c r="B485" s="1">
        <v>479</v>
      </c>
      <c r="C485" s="1">
        <v>4.712633022909742</v>
      </c>
      <c r="D485" s="1">
        <v>-7.7241782067957825</v>
      </c>
      <c r="E485" s="1">
        <v>5.3584891074535168</v>
      </c>
      <c r="F485" s="1">
        <v>8.3958213170604292</v>
      </c>
      <c r="G485" s="1">
        <v>10.123613427391218</v>
      </c>
    </row>
    <row r="486" spans="2:7" x14ac:dyDescent="0.25">
      <c r="B486" s="1">
        <v>480</v>
      </c>
      <c r="C486" s="1">
        <v>2.9137694985112237</v>
      </c>
      <c r="D486" s="1">
        <v>3.8546349067535313</v>
      </c>
      <c r="E486" s="1">
        <v>20.33078749967558</v>
      </c>
      <c r="F486" s="1">
        <v>9.5731549953839057</v>
      </c>
      <c r="G486" s="1">
        <v>-2.3113332829618907</v>
      </c>
    </row>
    <row r="487" spans="2:7" x14ac:dyDescent="0.25">
      <c r="B487" s="1">
        <v>481</v>
      </c>
      <c r="C487" s="1">
        <v>10.618420648078018</v>
      </c>
      <c r="D487" s="1">
        <v>11.326212891793027</v>
      </c>
      <c r="E487" s="1">
        <v>2.1327845092858664</v>
      </c>
      <c r="F487" s="1">
        <v>22.435308192585548</v>
      </c>
      <c r="G487" s="1">
        <v>8.0865774311357779</v>
      </c>
    </row>
    <row r="488" spans="2:7" x14ac:dyDescent="0.25">
      <c r="B488" s="1">
        <v>482</v>
      </c>
      <c r="C488" s="1">
        <v>1.372215524678623</v>
      </c>
      <c r="D488" s="1">
        <v>-1.5375295725793359</v>
      </c>
      <c r="E488" s="1">
        <v>-3.5575834353737998</v>
      </c>
      <c r="F488" s="1">
        <v>-11.374479300228927</v>
      </c>
      <c r="G488" s="1">
        <v>14.341324887397537</v>
      </c>
    </row>
    <row r="489" spans="2:7" x14ac:dyDescent="0.25">
      <c r="B489" s="1">
        <v>483</v>
      </c>
      <c r="C489" s="1">
        <v>4.2505304138827045</v>
      </c>
      <c r="D489" s="1">
        <v>10.96350374475505</v>
      </c>
      <c r="E489" s="1">
        <v>10.679662275431115</v>
      </c>
      <c r="F489" s="1">
        <v>-3.3293130754513793</v>
      </c>
      <c r="G489" s="1">
        <v>-4.2856334664056481</v>
      </c>
    </row>
    <row r="490" spans="2:7" x14ac:dyDescent="0.25">
      <c r="B490" s="1">
        <v>484</v>
      </c>
      <c r="C490" s="1">
        <v>3.6968758586581623</v>
      </c>
      <c r="D490" s="1">
        <v>7.1992878416241419</v>
      </c>
      <c r="E490" s="1">
        <v>0.47929002756673306</v>
      </c>
      <c r="F490" s="1">
        <v>-14.611903861706701</v>
      </c>
      <c r="G490" s="1">
        <v>10.132880909937487</v>
      </c>
    </row>
    <row r="491" spans="2:7" x14ac:dyDescent="0.25">
      <c r="B491" s="1">
        <v>485</v>
      </c>
      <c r="C491" s="1">
        <v>6.0353838552993802</v>
      </c>
      <c r="D491" s="1">
        <v>5.941217343269158</v>
      </c>
      <c r="E491" s="1">
        <v>21.213823811912164</v>
      </c>
      <c r="F491" s="1">
        <v>7.8439246164099199</v>
      </c>
      <c r="G491" s="1">
        <v>-15.7744480548462</v>
      </c>
    </row>
    <row r="492" spans="2:7" x14ac:dyDescent="0.25">
      <c r="B492" s="1">
        <v>486</v>
      </c>
      <c r="C492" s="1">
        <v>4.1703551535023502</v>
      </c>
      <c r="D492" s="1">
        <v>6.4143014364554984</v>
      </c>
      <c r="E492" s="1">
        <v>6.3616507743892132</v>
      </c>
      <c r="F492" s="1">
        <v>3.7225331697077975</v>
      </c>
      <c r="G492" s="1">
        <v>3.914773896946302</v>
      </c>
    </row>
    <row r="493" spans="2:7" x14ac:dyDescent="0.25">
      <c r="B493" s="1">
        <v>487</v>
      </c>
      <c r="C493" s="1">
        <v>5.1577646385468707</v>
      </c>
      <c r="D493" s="1">
        <v>3.5896040534496994</v>
      </c>
      <c r="E493" s="1">
        <v>6.1941929465497951</v>
      </c>
      <c r="F493" s="1">
        <v>-6.6413998310046392</v>
      </c>
      <c r="G493" s="1">
        <v>-15.765345529483593</v>
      </c>
    </row>
    <row r="494" spans="2:7" x14ac:dyDescent="0.25">
      <c r="B494" s="1">
        <v>488</v>
      </c>
      <c r="C494" s="1">
        <v>2.8242182841162036</v>
      </c>
      <c r="D494" s="1">
        <v>13.403144918931009</v>
      </c>
      <c r="E494" s="1">
        <v>1.1926718278571553</v>
      </c>
      <c r="F494" s="1">
        <v>6.9204211912324078</v>
      </c>
      <c r="G494" s="1">
        <v>10.881938038957925</v>
      </c>
    </row>
    <row r="495" spans="2:7" x14ac:dyDescent="0.25">
      <c r="B495" s="1">
        <v>489</v>
      </c>
      <c r="C495" s="1">
        <v>-2.4010014503030304</v>
      </c>
      <c r="D495" s="1">
        <v>6.5499949503075623</v>
      </c>
      <c r="E495" s="1">
        <v>2.8733346040594632</v>
      </c>
      <c r="F495" s="1">
        <v>14.214626111147734</v>
      </c>
      <c r="G495" s="1">
        <v>-8.134550674776353</v>
      </c>
    </row>
    <row r="496" spans="2:7" x14ac:dyDescent="0.25">
      <c r="B496" s="1">
        <v>490</v>
      </c>
      <c r="C496" s="1">
        <v>4.9627223164452232</v>
      </c>
      <c r="D496" s="1">
        <v>16.652843235977496</v>
      </c>
      <c r="E496" s="1">
        <v>-2.5397676429527234</v>
      </c>
      <c r="F496" s="1">
        <v>16.899050294028353</v>
      </c>
      <c r="G496" s="1">
        <v>17.746962687652278</v>
      </c>
    </row>
    <row r="497" spans="2:7" x14ac:dyDescent="0.25">
      <c r="B497" s="1">
        <v>491</v>
      </c>
      <c r="C497" s="1">
        <v>-6.8052247976276625E-2</v>
      </c>
      <c r="D497" s="1">
        <v>3.3089615531926815</v>
      </c>
      <c r="E497" s="1">
        <v>-0.59682988956745731</v>
      </c>
      <c r="F497" s="1">
        <v>14.329358757405252</v>
      </c>
      <c r="G497" s="1">
        <v>3.4256480679582753</v>
      </c>
    </row>
    <row r="498" spans="2:7" x14ac:dyDescent="0.25">
      <c r="B498" s="1">
        <v>492</v>
      </c>
      <c r="C498" s="1">
        <v>2.3872034895969168</v>
      </c>
      <c r="D498" s="1">
        <v>0.78350924953150136</v>
      </c>
      <c r="E498" s="1">
        <v>-1.0070077044614376</v>
      </c>
      <c r="F498" s="1">
        <v>-4.2352370639679817</v>
      </c>
      <c r="G498" s="1">
        <v>-0.28095915158295043</v>
      </c>
    </row>
    <row r="499" spans="2:7" x14ac:dyDescent="0.25">
      <c r="B499" s="1">
        <v>493</v>
      </c>
      <c r="C499" s="1">
        <v>-0.98939423941768467</v>
      </c>
      <c r="D499" s="1">
        <v>2.004656487141832</v>
      </c>
      <c r="E499" s="1">
        <v>-0.99948806508996579</v>
      </c>
      <c r="F499" s="1">
        <v>10.750803963577441</v>
      </c>
      <c r="G499" s="1">
        <v>1.7213495070111255</v>
      </c>
    </row>
    <row r="500" spans="2:7" x14ac:dyDescent="0.25">
      <c r="B500" s="1">
        <v>494</v>
      </c>
      <c r="C500" s="1">
        <v>6.1003463961307238</v>
      </c>
      <c r="D500" s="1">
        <v>0.71020462749964475</v>
      </c>
      <c r="E500" s="1">
        <v>11.736490640768725</v>
      </c>
      <c r="F500" s="1">
        <v>11.824059856529225</v>
      </c>
      <c r="G500" s="1">
        <v>23.826861260267322</v>
      </c>
    </row>
    <row r="501" spans="2:7" x14ac:dyDescent="0.25">
      <c r="B501" s="1">
        <v>495</v>
      </c>
      <c r="C501" s="1">
        <v>4.8780576533660707</v>
      </c>
      <c r="D501" s="1">
        <v>2.6520499367622903</v>
      </c>
      <c r="E501" s="1">
        <v>13.164356228010208</v>
      </c>
      <c r="F501" s="1">
        <v>11.098455101755407</v>
      </c>
      <c r="G501" s="1">
        <v>-4.8887736328094809</v>
      </c>
    </row>
    <row r="502" spans="2:7" x14ac:dyDescent="0.25">
      <c r="B502" s="1">
        <v>496</v>
      </c>
      <c r="C502" s="1">
        <v>1.4812663705935392</v>
      </c>
      <c r="D502" s="1">
        <v>-0.79917063215250872</v>
      </c>
      <c r="E502" s="1">
        <v>-1.5203137773836024</v>
      </c>
      <c r="F502" s="1">
        <v>-6.5334812766531298</v>
      </c>
      <c r="G502" s="1">
        <v>-5.5712728128455549</v>
      </c>
    </row>
    <row r="503" spans="2:7" x14ac:dyDescent="0.25">
      <c r="B503" s="1">
        <v>497</v>
      </c>
      <c r="C503" s="1">
        <v>3.8288688041207246</v>
      </c>
      <c r="D503" s="1">
        <v>11.6033058502248</v>
      </c>
      <c r="E503" s="1">
        <v>-4.2058254668534643</v>
      </c>
      <c r="F503" s="1">
        <v>15.804074977002481</v>
      </c>
      <c r="G503" s="1">
        <v>6.3396286847578338</v>
      </c>
    </row>
    <row r="504" spans="2:7" x14ac:dyDescent="0.25">
      <c r="B504" s="1">
        <v>498</v>
      </c>
      <c r="C504" s="1">
        <v>1.6135842586250058</v>
      </c>
      <c r="D504" s="1">
        <v>13.06692182134638</v>
      </c>
      <c r="E504" s="1">
        <v>14.387872046559886</v>
      </c>
      <c r="F504" s="1">
        <v>-3.0140029897615843</v>
      </c>
      <c r="G504" s="1">
        <v>-4.9256949319449008</v>
      </c>
    </row>
    <row r="505" spans="2:7" x14ac:dyDescent="0.25">
      <c r="B505" s="1">
        <v>499</v>
      </c>
      <c r="C505" s="1">
        <v>8.9804862767399136</v>
      </c>
      <c r="D505" s="1">
        <v>10.010795062986773</v>
      </c>
      <c r="E505" s="1">
        <v>1.044324649168799</v>
      </c>
      <c r="F505" s="1">
        <v>7.1599546721215388</v>
      </c>
      <c r="G505" s="1">
        <v>11.993016504329074</v>
      </c>
    </row>
    <row r="506" spans="2:7" x14ac:dyDescent="0.25">
      <c r="B506" s="1">
        <v>500</v>
      </c>
      <c r="C506" s="1">
        <v>8.1597088321117504</v>
      </c>
      <c r="D506" s="1">
        <v>-2.8013625674265432</v>
      </c>
      <c r="E506" s="1">
        <v>10.3256899265711</v>
      </c>
      <c r="F506" s="1">
        <v>8.2904870035457208</v>
      </c>
      <c r="G506" s="1">
        <v>17.471276860952866</v>
      </c>
    </row>
    <row r="507" spans="2:7" x14ac:dyDescent="0.25">
      <c r="B507" s="1">
        <v>501</v>
      </c>
      <c r="C507" s="1">
        <v>8.8045750284365258</v>
      </c>
      <c r="D507" s="1">
        <v>-0.29445961168090873</v>
      </c>
      <c r="E507" s="1">
        <v>-4.2923132528282508</v>
      </c>
      <c r="F507" s="1">
        <v>10.714556399751974</v>
      </c>
      <c r="G507" s="1">
        <v>-5.1099313801632444</v>
      </c>
    </row>
    <row r="508" spans="2:7" x14ac:dyDescent="0.25">
      <c r="B508" s="1">
        <v>502</v>
      </c>
      <c r="C508" s="1">
        <v>1.321859540333076</v>
      </c>
      <c r="D508" s="1">
        <v>-3.7169250801563654</v>
      </c>
      <c r="E508" s="1">
        <v>12.842896961163726</v>
      </c>
      <c r="F508" s="1">
        <v>1.1501134414712031</v>
      </c>
      <c r="G508" s="1">
        <v>-1.9945253001742167</v>
      </c>
    </row>
    <row r="509" spans="2:7" x14ac:dyDescent="0.25">
      <c r="B509" s="1">
        <v>503</v>
      </c>
      <c r="C509" s="1">
        <v>3.4555347762320072</v>
      </c>
      <c r="D509" s="1">
        <v>10.302414264605027</v>
      </c>
      <c r="E509" s="1">
        <v>7.3390387339615941</v>
      </c>
      <c r="F509" s="1">
        <v>-14.885007678884207</v>
      </c>
      <c r="G509" s="1">
        <v>10.171088934439288</v>
      </c>
    </row>
    <row r="510" spans="2:7" x14ac:dyDescent="0.25">
      <c r="B510" s="1">
        <v>504</v>
      </c>
      <c r="C510" s="1">
        <v>2.4711775655741293</v>
      </c>
      <c r="D510" s="1">
        <v>2.0877624197645819</v>
      </c>
      <c r="E510" s="1">
        <v>0.21547515931841302</v>
      </c>
      <c r="F510" s="1">
        <v>13.831233719178851</v>
      </c>
      <c r="G510" s="1">
        <v>15.53839913772541</v>
      </c>
    </row>
    <row r="511" spans="2:7" x14ac:dyDescent="0.25">
      <c r="B511" s="1">
        <v>505</v>
      </c>
      <c r="C511" s="1">
        <v>2.8488510106813218</v>
      </c>
      <c r="D511" s="1">
        <v>8.2360475863401081</v>
      </c>
      <c r="E511" s="1">
        <v>12.005781476282021</v>
      </c>
      <c r="F511" s="1">
        <v>-4.1045508649081253</v>
      </c>
      <c r="G511" s="1">
        <v>19.144623381086561</v>
      </c>
    </row>
    <row r="512" spans="2:7" x14ac:dyDescent="0.25">
      <c r="B512" s="1">
        <v>506</v>
      </c>
      <c r="C512" s="1">
        <v>4.5670978230299344</v>
      </c>
      <c r="D512" s="1">
        <v>8.6429450113620732</v>
      </c>
      <c r="E512" s="1">
        <v>19.906296954087047</v>
      </c>
      <c r="F512" s="1">
        <v>11.530304926010196</v>
      </c>
      <c r="G512" s="1">
        <v>-2.6441912293417498</v>
      </c>
    </row>
    <row r="513" spans="2:7" x14ac:dyDescent="0.25">
      <c r="B513" s="1">
        <v>507</v>
      </c>
      <c r="C513" s="1">
        <v>-7.2075692086851717E-2</v>
      </c>
      <c r="D513" s="1">
        <v>8.5765586469580271</v>
      </c>
      <c r="E513" s="1">
        <v>5.3541022013815391</v>
      </c>
      <c r="F513" s="1">
        <v>-0.24800861086968559</v>
      </c>
      <c r="G513" s="1">
        <v>-32.642140899512661</v>
      </c>
    </row>
    <row r="514" spans="2:7" x14ac:dyDescent="0.25">
      <c r="B514" s="1">
        <v>508</v>
      </c>
      <c r="C514" s="1">
        <v>4.0771186784362055</v>
      </c>
      <c r="D514" s="1">
        <v>11.472022944999901</v>
      </c>
      <c r="E514" s="1">
        <v>6.0493554508827794</v>
      </c>
      <c r="F514" s="1">
        <v>29.94628885996476</v>
      </c>
      <c r="G514" s="1">
        <v>5.030371599080147</v>
      </c>
    </row>
    <row r="515" spans="2:7" x14ac:dyDescent="0.25">
      <c r="B515" s="1">
        <v>509</v>
      </c>
      <c r="C515" s="1">
        <v>5.9420445973302805</v>
      </c>
      <c r="D515" s="1">
        <v>8.5540124926613714</v>
      </c>
      <c r="E515" s="1">
        <v>-4.9809673616974379</v>
      </c>
      <c r="F515" s="1">
        <v>-8.6829598975313314</v>
      </c>
      <c r="G515" s="1">
        <v>4.3278471258315605</v>
      </c>
    </row>
    <row r="516" spans="2:7" x14ac:dyDescent="0.25">
      <c r="B516" s="1">
        <v>510</v>
      </c>
      <c r="C516" s="1">
        <v>3.4364359233447512</v>
      </c>
      <c r="D516" s="1">
        <v>-1.8210028396435374</v>
      </c>
      <c r="E516" s="1">
        <v>-3.095628878248986</v>
      </c>
      <c r="F516" s="1">
        <v>1.0418064396540518</v>
      </c>
      <c r="G516" s="1">
        <v>2.5880923149755164</v>
      </c>
    </row>
    <row r="517" spans="2:7" x14ac:dyDescent="0.25">
      <c r="B517" s="1">
        <v>511</v>
      </c>
      <c r="C517" s="1">
        <v>3.8454137612032557</v>
      </c>
      <c r="D517" s="1">
        <v>8.3702088945729205</v>
      </c>
      <c r="E517" s="1">
        <v>-0.23384733040477759</v>
      </c>
      <c r="F517" s="1">
        <v>12.685387079828507</v>
      </c>
      <c r="G517" s="1">
        <v>5.3357880856907096</v>
      </c>
    </row>
    <row r="518" spans="2:7" x14ac:dyDescent="0.25">
      <c r="B518" s="1">
        <v>512</v>
      </c>
      <c r="C518" s="1">
        <v>0.97226617950145622</v>
      </c>
      <c r="D518" s="1">
        <v>-2.4365812040245403</v>
      </c>
      <c r="E518" s="1">
        <v>5.5840099733634334</v>
      </c>
      <c r="F518" s="1">
        <v>-7.9994696911610523</v>
      </c>
      <c r="G518" s="1">
        <v>5.0477247495953712</v>
      </c>
    </row>
    <row r="519" spans="2:7" x14ac:dyDescent="0.25">
      <c r="B519" s="1">
        <v>513</v>
      </c>
      <c r="C519" s="1">
        <v>3.0412814032961144E-2</v>
      </c>
      <c r="D519" s="1">
        <v>3.1294162347955052</v>
      </c>
      <c r="E519" s="1">
        <v>10.524882722036342</v>
      </c>
      <c r="F519" s="1">
        <v>6.2542954682944831</v>
      </c>
      <c r="G519" s="1">
        <v>-9.3289766568256489</v>
      </c>
    </row>
    <row r="520" spans="2:7" x14ac:dyDescent="0.25">
      <c r="B520" s="1">
        <v>514</v>
      </c>
      <c r="C520" s="1">
        <v>1.9585329673198393</v>
      </c>
      <c r="D520" s="1">
        <v>-1.0914280247970538</v>
      </c>
      <c r="E520" s="1">
        <v>-4.6031129858763116</v>
      </c>
      <c r="F520" s="1">
        <v>19.219533371445717</v>
      </c>
      <c r="G520" s="1">
        <v>-10.261675117711192</v>
      </c>
    </row>
    <row r="521" spans="2:7" x14ac:dyDescent="0.25">
      <c r="B521" s="1">
        <v>515</v>
      </c>
      <c r="C521" s="1">
        <v>5.6455278718212121</v>
      </c>
      <c r="D521" s="1">
        <v>3.3630567334272627</v>
      </c>
      <c r="E521" s="1">
        <v>2.9022031325145496</v>
      </c>
      <c r="F521" s="1">
        <v>8.9931746834034314</v>
      </c>
      <c r="G521" s="1">
        <v>5.1197362997102775</v>
      </c>
    </row>
    <row r="522" spans="2:7" x14ac:dyDescent="0.25">
      <c r="B522" s="1">
        <v>516</v>
      </c>
      <c r="C522" s="1">
        <v>4.6164068040117048</v>
      </c>
      <c r="D522" s="1">
        <v>-4.123514388774435</v>
      </c>
      <c r="E522" s="1">
        <v>15.45316739750653</v>
      </c>
      <c r="F522" s="1">
        <v>15.650048799191365</v>
      </c>
      <c r="G522" s="1">
        <v>7.2067952002893829</v>
      </c>
    </row>
    <row r="523" spans="2:7" x14ac:dyDescent="0.25">
      <c r="B523" s="1">
        <v>517</v>
      </c>
      <c r="C523" s="1">
        <v>1.4318880744428224</v>
      </c>
      <c r="D523" s="1">
        <v>-1.106027555346685</v>
      </c>
      <c r="E523" s="1">
        <v>13.279418050827768</v>
      </c>
      <c r="F523" s="1">
        <v>5.8152443447760769</v>
      </c>
      <c r="G523" s="1">
        <v>9.4958079681436782</v>
      </c>
    </row>
    <row r="524" spans="2:7" x14ac:dyDescent="0.25">
      <c r="B524" s="1">
        <v>518</v>
      </c>
      <c r="C524" s="1">
        <v>7.3962279723578472</v>
      </c>
      <c r="D524" s="1">
        <v>5.2119857939204532</v>
      </c>
      <c r="E524" s="1">
        <v>13.11453559693109</v>
      </c>
      <c r="F524" s="1">
        <v>-1.5063254661045211</v>
      </c>
      <c r="G524" s="1">
        <v>9.7173528044549116</v>
      </c>
    </row>
    <row r="525" spans="2:7" x14ac:dyDescent="0.25">
      <c r="B525" s="1">
        <v>519</v>
      </c>
      <c r="C525" s="1">
        <v>3.1843236859422834</v>
      </c>
      <c r="D525" s="1">
        <v>-0.51287613795038978</v>
      </c>
      <c r="E525" s="1">
        <v>-5.7796350908499523</v>
      </c>
      <c r="F525" s="1">
        <v>-8.722425345688821</v>
      </c>
      <c r="G525" s="1">
        <v>2.2568003258860312</v>
      </c>
    </row>
    <row r="526" spans="2:7" x14ac:dyDescent="0.25">
      <c r="B526" s="1">
        <v>520</v>
      </c>
      <c r="C526" s="1">
        <v>1.0041261184326329</v>
      </c>
      <c r="D526" s="1">
        <v>7.1281314822454043</v>
      </c>
      <c r="E526" s="1">
        <v>-1.9389232515123078</v>
      </c>
      <c r="F526" s="1">
        <v>0.69929212110793559</v>
      </c>
      <c r="G526" s="1">
        <v>0.63857386654819459</v>
      </c>
    </row>
    <row r="527" spans="2:7" x14ac:dyDescent="0.25">
      <c r="B527" s="1">
        <v>521</v>
      </c>
      <c r="C527" s="1">
        <v>6.8429649054072685</v>
      </c>
      <c r="D527" s="1">
        <v>3.8463073995613497</v>
      </c>
      <c r="E527" s="1">
        <v>0.7841255297344456</v>
      </c>
      <c r="F527" s="1">
        <v>11.476505936441313</v>
      </c>
      <c r="G527" s="1">
        <v>-7.7153604750377172</v>
      </c>
    </row>
    <row r="528" spans="2:7" x14ac:dyDescent="0.25">
      <c r="B528" s="1">
        <v>522</v>
      </c>
      <c r="C528" s="1">
        <v>2.5532203214256204</v>
      </c>
      <c r="D528" s="1">
        <v>6.838735038060614</v>
      </c>
      <c r="E528" s="1">
        <v>9.6428691639091912</v>
      </c>
      <c r="F528" s="1">
        <v>-9.5775206276275711</v>
      </c>
      <c r="G528" s="1">
        <v>-11.917225211188534</v>
      </c>
    </row>
    <row r="529" spans="2:7" x14ac:dyDescent="0.25">
      <c r="B529" s="1">
        <v>523</v>
      </c>
      <c r="C529" s="1">
        <v>-0.61892921692116598</v>
      </c>
      <c r="D529" s="1">
        <v>7.4463141290375674</v>
      </c>
      <c r="E529" s="1">
        <v>-6.2436581455884044</v>
      </c>
      <c r="F529" s="1">
        <v>12.174140621738376</v>
      </c>
      <c r="G529" s="1">
        <v>1.3327618571240609</v>
      </c>
    </row>
    <row r="530" spans="2:7" x14ac:dyDescent="0.25">
      <c r="B530" s="1">
        <v>524</v>
      </c>
      <c r="C530" s="1">
        <v>2.6482095319195293</v>
      </c>
      <c r="D530" s="1">
        <v>2.3773081753382947</v>
      </c>
      <c r="E530" s="1">
        <v>18.089014751798015</v>
      </c>
      <c r="F530" s="1">
        <v>13.86502850803697</v>
      </c>
      <c r="G530" s="1">
        <v>-10.796031614600778</v>
      </c>
    </row>
    <row r="531" spans="2:7" x14ac:dyDescent="0.25">
      <c r="B531" s="1">
        <v>525</v>
      </c>
      <c r="C531" s="1">
        <v>10.677041263345611</v>
      </c>
      <c r="D531" s="1">
        <v>6.622883470095978</v>
      </c>
      <c r="E531" s="1">
        <v>8.024586127266339</v>
      </c>
      <c r="F531" s="1">
        <v>7.4231761854582876</v>
      </c>
      <c r="G531" s="1">
        <v>-9.0186647640736801</v>
      </c>
    </row>
    <row r="532" spans="2:7" x14ac:dyDescent="0.25">
      <c r="B532" s="1">
        <v>526</v>
      </c>
      <c r="C532" s="1">
        <v>2.5242899182547562</v>
      </c>
      <c r="D532" s="1">
        <v>6.5109928181381136</v>
      </c>
      <c r="E532" s="1">
        <v>1.9355414950251366</v>
      </c>
      <c r="F532" s="1">
        <v>4.2438406592131566</v>
      </c>
      <c r="G532" s="1">
        <v>0.50394630336846336</v>
      </c>
    </row>
    <row r="533" spans="2:7" x14ac:dyDescent="0.25">
      <c r="B533" s="1">
        <v>527</v>
      </c>
      <c r="C533" s="1">
        <v>-0.64673411446899642</v>
      </c>
      <c r="D533" s="1">
        <v>-3.005622929830138</v>
      </c>
      <c r="E533" s="1">
        <v>-8.2490040767475517</v>
      </c>
      <c r="F533" s="1">
        <v>2.9644049273376059</v>
      </c>
      <c r="G533" s="1">
        <v>-3.6521756067559439</v>
      </c>
    </row>
    <row r="534" spans="2:7" x14ac:dyDescent="0.25">
      <c r="B534" s="1">
        <v>528</v>
      </c>
      <c r="C534" s="1">
        <v>4.1044035032415804</v>
      </c>
      <c r="D534" s="1">
        <v>8.3307279157206331</v>
      </c>
      <c r="E534" s="1">
        <v>3.1095143168870489</v>
      </c>
      <c r="F534" s="1">
        <v>12.291568193716699</v>
      </c>
      <c r="G534" s="1">
        <v>19.742775641829908</v>
      </c>
    </row>
    <row r="535" spans="2:7" x14ac:dyDescent="0.25">
      <c r="B535" s="1">
        <v>529</v>
      </c>
      <c r="C535" s="1">
        <v>7.4230851067540469</v>
      </c>
      <c r="D535" s="1">
        <v>7.552855343762765</v>
      </c>
      <c r="E535" s="1">
        <v>-0.33909949166595627</v>
      </c>
      <c r="F535" s="1">
        <v>18.901579047245445</v>
      </c>
      <c r="G535" s="1">
        <v>19.565617784931096</v>
      </c>
    </row>
    <row r="536" spans="2:7" x14ac:dyDescent="0.25">
      <c r="B536" s="1">
        <v>530</v>
      </c>
      <c r="C536" s="1">
        <v>-0.24348504446384478</v>
      </c>
      <c r="D536" s="1">
        <v>6.3454145191748523</v>
      </c>
      <c r="E536" s="1">
        <v>17.418725839661874</v>
      </c>
      <c r="F536" s="1">
        <v>-4.9594960298310014</v>
      </c>
      <c r="G536" s="1">
        <v>-6.6174238969169448</v>
      </c>
    </row>
    <row r="537" spans="2:7" x14ac:dyDescent="0.25">
      <c r="B537" s="1">
        <v>531</v>
      </c>
      <c r="C537" s="1">
        <v>-2.2031128887166482</v>
      </c>
      <c r="D537" s="1">
        <v>1.156008950266983</v>
      </c>
      <c r="E537" s="1">
        <v>0.83828351301312576</v>
      </c>
      <c r="F537" s="1">
        <v>12.796550051434963</v>
      </c>
      <c r="G537" s="1">
        <v>-8.0832961808352426</v>
      </c>
    </row>
    <row r="538" spans="2:7" x14ac:dyDescent="0.25">
      <c r="B538" s="1">
        <v>532</v>
      </c>
      <c r="C538" s="1">
        <v>0.27480308091305528</v>
      </c>
      <c r="D538" s="1">
        <v>-1.9997493075334523</v>
      </c>
      <c r="E538" s="1">
        <v>0.28362434251451829</v>
      </c>
      <c r="F538" s="1">
        <v>-0.97459616492486567</v>
      </c>
      <c r="G538" s="1">
        <v>-16.989660557847667</v>
      </c>
    </row>
    <row r="539" spans="2:7" x14ac:dyDescent="0.25">
      <c r="B539" s="1">
        <v>533</v>
      </c>
      <c r="C539" s="1">
        <v>3.3997820607882687</v>
      </c>
      <c r="D539" s="1">
        <v>1.5274550982184609</v>
      </c>
      <c r="E539" s="1">
        <v>-5.7938994354137749</v>
      </c>
      <c r="F539" s="1">
        <v>6.2451089431113802</v>
      </c>
      <c r="G539" s="1">
        <v>-4.4402765898428749</v>
      </c>
    </row>
    <row r="540" spans="2:7" x14ac:dyDescent="0.25">
      <c r="B540" s="1">
        <v>534</v>
      </c>
      <c r="C540" s="1">
        <v>7.0269724103744409</v>
      </c>
      <c r="D540" s="1">
        <v>3.1076122935460164</v>
      </c>
      <c r="E540" s="1">
        <v>4.4317620060184826</v>
      </c>
      <c r="F540" s="1">
        <v>-10.330014087437462</v>
      </c>
      <c r="G540" s="1">
        <v>13.372609194727476</v>
      </c>
    </row>
    <row r="541" spans="2:7" x14ac:dyDescent="0.25">
      <c r="B541" s="1">
        <v>535</v>
      </c>
      <c r="C541" s="1">
        <v>3.7094544825834412</v>
      </c>
      <c r="D541" s="1">
        <v>9.6421938135445799</v>
      </c>
      <c r="E541" s="1">
        <v>16.936464437365967</v>
      </c>
      <c r="F541" s="1">
        <v>5.8824319493687813</v>
      </c>
      <c r="G541" s="1">
        <v>17.39419985673938</v>
      </c>
    </row>
    <row r="542" spans="2:7" x14ac:dyDescent="0.25">
      <c r="B542" s="1">
        <v>536</v>
      </c>
      <c r="C542" s="1">
        <v>3.8919134332040453</v>
      </c>
      <c r="D542" s="1">
        <v>11.658824161787109</v>
      </c>
      <c r="E542" s="1">
        <v>13.325295452369001</v>
      </c>
      <c r="F542" s="1">
        <v>22.383858589902776</v>
      </c>
      <c r="G542" s="1">
        <v>-5.7519174160388635</v>
      </c>
    </row>
    <row r="543" spans="2:7" x14ac:dyDescent="0.25">
      <c r="B543" s="1">
        <v>537</v>
      </c>
      <c r="C543" s="1">
        <v>1.4343215101963924</v>
      </c>
      <c r="D543" s="1">
        <v>2.5326718817731204</v>
      </c>
      <c r="E543" s="1">
        <v>24.935507553697654</v>
      </c>
      <c r="F543" s="1">
        <v>11.888816911617983</v>
      </c>
      <c r="G543" s="1">
        <v>-16.117198804347456</v>
      </c>
    </row>
    <row r="544" spans="2:7" x14ac:dyDescent="0.25">
      <c r="B544" s="1">
        <v>538</v>
      </c>
      <c r="C544" s="1">
        <v>2.4087452473694584</v>
      </c>
      <c r="D544" s="1">
        <v>4.182452074155866</v>
      </c>
      <c r="E544" s="1">
        <v>-10.43689991118843</v>
      </c>
      <c r="F544" s="1">
        <v>-10.69556429884115</v>
      </c>
      <c r="G544" s="1">
        <v>0.35185365707955785</v>
      </c>
    </row>
    <row r="545" spans="2:7" x14ac:dyDescent="0.25">
      <c r="B545" s="1">
        <v>539</v>
      </c>
      <c r="C545" s="1">
        <v>-2.0720286547388724</v>
      </c>
      <c r="D545" s="1">
        <v>6.1501183514092199</v>
      </c>
      <c r="E545" s="1">
        <v>3.8390817567249775</v>
      </c>
      <c r="F545" s="1">
        <v>-1.2146303204658871E-3</v>
      </c>
      <c r="G545" s="1">
        <v>17.684301206379519</v>
      </c>
    </row>
    <row r="546" spans="2:7" x14ac:dyDescent="0.25">
      <c r="B546" s="1">
        <v>540</v>
      </c>
      <c r="C546" s="1">
        <v>4.0759970012562974</v>
      </c>
      <c r="D546" s="1">
        <v>4.9617002219717632</v>
      </c>
      <c r="E546" s="1">
        <v>11.856876387524339</v>
      </c>
      <c r="F546" s="1">
        <v>0.48845696856276122</v>
      </c>
      <c r="G546" s="1">
        <v>5.9629273011723285</v>
      </c>
    </row>
    <row r="547" spans="2:7" x14ac:dyDescent="0.25">
      <c r="B547" s="1">
        <v>541</v>
      </c>
      <c r="C547" s="1">
        <v>0.98784966190187706</v>
      </c>
      <c r="D547" s="1">
        <v>3.7883526707300588</v>
      </c>
      <c r="E547" s="1">
        <v>-6.2557956420327532</v>
      </c>
      <c r="F547" s="1">
        <v>4.1555658387865027</v>
      </c>
      <c r="G547" s="1">
        <v>13.075024629160904</v>
      </c>
    </row>
    <row r="548" spans="2:7" x14ac:dyDescent="0.25">
      <c r="B548" s="1">
        <v>542</v>
      </c>
      <c r="C548" s="1">
        <v>2.5301948897326585</v>
      </c>
      <c r="D548" s="1">
        <v>7.0713960594862852</v>
      </c>
      <c r="E548" s="1">
        <v>1.1418577079722283</v>
      </c>
      <c r="F548" s="1">
        <v>-2.02302579309631</v>
      </c>
      <c r="G548" s="1">
        <v>6.9479492953219202</v>
      </c>
    </row>
    <row r="549" spans="2:7" x14ac:dyDescent="0.25">
      <c r="B549" s="1">
        <v>543</v>
      </c>
      <c r="C549" s="1">
        <v>4.3124109190779629</v>
      </c>
      <c r="D549" s="1">
        <v>9.9082298545475016</v>
      </c>
      <c r="E549" s="1">
        <v>-4.1171265942568995</v>
      </c>
      <c r="F549" s="1">
        <v>9.8998843853710241</v>
      </c>
      <c r="G549" s="1">
        <v>9.8595344370763236</v>
      </c>
    </row>
    <row r="550" spans="2:7" x14ac:dyDescent="0.25">
      <c r="B550" s="1">
        <v>544</v>
      </c>
      <c r="C550" s="1">
        <v>-0.71406069517906134</v>
      </c>
      <c r="D550" s="1">
        <v>3.0371475096461515</v>
      </c>
      <c r="E550" s="1">
        <v>8.7275540056092584</v>
      </c>
      <c r="F550" s="1">
        <v>13.246813809995501</v>
      </c>
      <c r="G550" s="1">
        <v>10.693338537195402</v>
      </c>
    </row>
    <row r="551" spans="2:7" x14ac:dyDescent="0.25">
      <c r="B551" s="1">
        <v>545</v>
      </c>
      <c r="C551" s="1">
        <v>6.620354383875557</v>
      </c>
      <c r="D551" s="1">
        <v>12.389273588185853</v>
      </c>
      <c r="E551" s="1">
        <v>8.7961071307936898</v>
      </c>
      <c r="F551" s="1">
        <v>28.708102678903277</v>
      </c>
      <c r="G551" s="1">
        <v>6.7615871293415601</v>
      </c>
    </row>
    <row r="552" spans="2:7" x14ac:dyDescent="0.25">
      <c r="B552" s="1">
        <v>546</v>
      </c>
      <c r="C552" s="1">
        <v>1.2684490744295083</v>
      </c>
      <c r="D552" s="1">
        <v>3.6940579783086966</v>
      </c>
      <c r="E552" s="1">
        <v>9.5811320673511169</v>
      </c>
      <c r="F552" s="1">
        <v>5.9614505341462944</v>
      </c>
      <c r="G552" s="1">
        <v>6.1170985639939035</v>
      </c>
    </row>
    <row r="553" spans="2:7" x14ac:dyDescent="0.25">
      <c r="B553" s="1">
        <v>547</v>
      </c>
      <c r="C553" s="1">
        <v>5.0828142370389342</v>
      </c>
      <c r="D553" s="1">
        <v>-0.78243854268722224</v>
      </c>
      <c r="E553" s="1">
        <v>12.071746772254325</v>
      </c>
      <c r="F553" s="1">
        <v>-0.59131003617541955</v>
      </c>
      <c r="G553" s="1">
        <v>17.159191510558813</v>
      </c>
    </row>
    <row r="554" spans="2:7" x14ac:dyDescent="0.25">
      <c r="B554" s="1">
        <v>548</v>
      </c>
      <c r="C554" s="1">
        <v>5.3625959706412765</v>
      </c>
      <c r="D554" s="1">
        <v>10.601987861383131</v>
      </c>
      <c r="E554" s="1">
        <v>6.9003155238874063</v>
      </c>
      <c r="F554" s="1">
        <v>1.767626125969193</v>
      </c>
      <c r="G554" s="1">
        <v>14.147999724664604</v>
      </c>
    </row>
    <row r="555" spans="2:7" x14ac:dyDescent="0.25">
      <c r="B555" s="1">
        <v>549</v>
      </c>
      <c r="C555" s="1">
        <v>1.1353179730036509</v>
      </c>
      <c r="D555" s="1">
        <v>-0.96474189088794216</v>
      </c>
      <c r="E555" s="1">
        <v>-0.57797170021182187</v>
      </c>
      <c r="F555" s="1">
        <v>8.5301643766018476</v>
      </c>
      <c r="G555" s="1">
        <v>-4.1426718998842604</v>
      </c>
    </row>
    <row r="556" spans="2:7" x14ac:dyDescent="0.25">
      <c r="B556" s="1">
        <v>550</v>
      </c>
      <c r="C556" s="1">
        <v>6.8304530613008128</v>
      </c>
      <c r="D556" s="1">
        <v>9.4724019031919724</v>
      </c>
      <c r="E556" s="1">
        <v>12.221082225897824</v>
      </c>
      <c r="F556" s="1">
        <v>-3.6626676343268136</v>
      </c>
      <c r="G556" s="1">
        <v>1.9686908543164718</v>
      </c>
    </row>
    <row r="557" spans="2:7" x14ac:dyDescent="0.25">
      <c r="B557" s="1">
        <v>551</v>
      </c>
      <c r="C557" s="1">
        <v>4.4689668059128973</v>
      </c>
      <c r="D557" s="1">
        <v>6.7804494251920531</v>
      </c>
      <c r="E557" s="1">
        <v>8.7962311684015813</v>
      </c>
      <c r="F557" s="1">
        <v>8.9961860048590179</v>
      </c>
      <c r="G557" s="1">
        <v>-4.2377022192760379</v>
      </c>
    </row>
    <row r="558" spans="2:7" x14ac:dyDescent="0.25">
      <c r="B558" s="1">
        <v>552</v>
      </c>
      <c r="C558" s="1">
        <v>-3.7710021480010418</v>
      </c>
      <c r="D558" s="1">
        <v>3.4619404828296609</v>
      </c>
      <c r="E558" s="1">
        <v>5.063749399765844</v>
      </c>
      <c r="F558" s="1">
        <v>-1.7046172733048333</v>
      </c>
      <c r="G558" s="1">
        <v>-1.9868106398874239</v>
      </c>
    </row>
    <row r="559" spans="2:7" x14ac:dyDescent="0.25">
      <c r="B559" s="1">
        <v>553</v>
      </c>
      <c r="C559" s="1">
        <v>2.4777382458342325</v>
      </c>
      <c r="D559" s="1">
        <v>2.1218072681685145</v>
      </c>
      <c r="E559" s="1">
        <v>5.3406749821991992</v>
      </c>
      <c r="F559" s="1">
        <v>9.9667690269096294</v>
      </c>
      <c r="G559" s="1">
        <v>-8.3296299379341523</v>
      </c>
    </row>
    <row r="560" spans="2:7" x14ac:dyDescent="0.25">
      <c r="B560" s="1">
        <v>554</v>
      </c>
      <c r="C560" s="1">
        <v>1.1204677076781207</v>
      </c>
      <c r="D560" s="1">
        <v>1.5497861334775851</v>
      </c>
      <c r="E560" s="1">
        <v>13.433131932563867</v>
      </c>
      <c r="F560" s="1">
        <v>6.9447949500020796</v>
      </c>
      <c r="G560" s="1">
        <v>13.073515930515851</v>
      </c>
    </row>
    <row r="561" spans="2:7" x14ac:dyDescent="0.25">
      <c r="B561" s="1">
        <v>555</v>
      </c>
      <c r="C561" s="1">
        <v>1.2976403393766414</v>
      </c>
      <c r="D561" s="1">
        <v>8.3433253634283291E-2</v>
      </c>
      <c r="E561" s="1">
        <v>-7.9566284262711902</v>
      </c>
      <c r="F561" s="1">
        <v>2.3060213047158116</v>
      </c>
      <c r="G561" s="1">
        <v>2.1883096324464493</v>
      </c>
    </row>
    <row r="562" spans="2:7" x14ac:dyDescent="0.25">
      <c r="B562" s="1">
        <v>556</v>
      </c>
      <c r="C562" s="1">
        <v>-0.43904599571228919</v>
      </c>
      <c r="D562" s="1">
        <v>0.92374570406141709</v>
      </c>
      <c r="E562" s="1">
        <v>2.3428178500105035</v>
      </c>
      <c r="F562" s="1">
        <v>1.3214716812786345</v>
      </c>
      <c r="G562" s="1">
        <v>-4.928643647762101</v>
      </c>
    </row>
    <row r="563" spans="2:7" x14ac:dyDescent="0.25">
      <c r="B563" s="1">
        <v>557</v>
      </c>
      <c r="C563" s="1">
        <v>6.963145724426191</v>
      </c>
      <c r="D563" s="1">
        <v>5.5904884911817563</v>
      </c>
      <c r="E563" s="1">
        <v>10.976806314342204</v>
      </c>
      <c r="F563" s="1">
        <v>14.694217096676116</v>
      </c>
      <c r="G563" s="1">
        <v>-11.168806443332988</v>
      </c>
    </row>
    <row r="564" spans="2:7" x14ac:dyDescent="0.25">
      <c r="B564" s="1">
        <v>558</v>
      </c>
      <c r="C564" s="1">
        <v>3.5328228761065059</v>
      </c>
      <c r="D564" s="1">
        <v>-0.89364508981140722</v>
      </c>
      <c r="E564" s="1">
        <v>6.2687348280168074</v>
      </c>
      <c r="F564" s="1">
        <v>5.8996922137296828</v>
      </c>
      <c r="G564" s="1">
        <v>29.572129787644965</v>
      </c>
    </row>
    <row r="565" spans="2:7" x14ac:dyDescent="0.25">
      <c r="B565" s="1">
        <v>559</v>
      </c>
      <c r="C565" s="1">
        <v>-0.15961689588437578</v>
      </c>
      <c r="D565" s="1">
        <v>11.053205777942274</v>
      </c>
      <c r="E565" s="1">
        <v>-1.9221009694173761</v>
      </c>
      <c r="F565" s="1">
        <v>-10.580082660785859</v>
      </c>
      <c r="G565" s="1">
        <v>7.717646629978721</v>
      </c>
    </row>
    <row r="566" spans="2:7" x14ac:dyDescent="0.25">
      <c r="B566" s="1">
        <v>560</v>
      </c>
      <c r="C566" s="1">
        <v>2.6073636668404463</v>
      </c>
      <c r="D566" s="1">
        <v>5.3519020232072414</v>
      </c>
      <c r="E566" s="1">
        <v>-3.1948665103233798</v>
      </c>
      <c r="F566" s="1">
        <v>14.02417004844467</v>
      </c>
      <c r="G566" s="1">
        <v>11.542861196677173</v>
      </c>
    </row>
    <row r="567" spans="2:7" x14ac:dyDescent="0.25">
      <c r="B567" s="1">
        <v>561</v>
      </c>
      <c r="C567" s="1">
        <v>3.7703922420797173</v>
      </c>
      <c r="D567" s="1">
        <v>4.8196952265818149</v>
      </c>
      <c r="E567" s="1">
        <v>6.8067660437924831</v>
      </c>
      <c r="F567" s="1">
        <v>24.24016947716893</v>
      </c>
      <c r="G567" s="1">
        <v>-1.8780771069181177</v>
      </c>
    </row>
    <row r="568" spans="2:7" x14ac:dyDescent="0.25">
      <c r="B568" s="1">
        <v>562</v>
      </c>
      <c r="C568" s="1">
        <v>5.8186390170507956</v>
      </c>
      <c r="D568" s="1">
        <v>10.49942995387676</v>
      </c>
      <c r="E568" s="1">
        <v>0.15939737354637473</v>
      </c>
      <c r="F568" s="1">
        <v>9.2238304662157926</v>
      </c>
      <c r="G568" s="1">
        <v>-16.702740606431501</v>
      </c>
    </row>
    <row r="569" spans="2:7" x14ac:dyDescent="0.25">
      <c r="B569" s="1">
        <v>563</v>
      </c>
      <c r="C569" s="1">
        <v>3.5013543482249982</v>
      </c>
      <c r="D569" s="1">
        <v>8.2292506175973035</v>
      </c>
      <c r="E569" s="1">
        <v>-0.69383377920867451</v>
      </c>
      <c r="F569" s="1">
        <v>15.52798643745458</v>
      </c>
      <c r="G569" s="1">
        <v>29.360461029967581</v>
      </c>
    </row>
    <row r="570" spans="2:7" x14ac:dyDescent="0.25">
      <c r="B570" s="1">
        <v>564</v>
      </c>
      <c r="C570" s="1">
        <v>6.0219583433384614</v>
      </c>
      <c r="D570" s="1">
        <v>16.738650830946746</v>
      </c>
      <c r="E570" s="1">
        <v>7.8267522321076743</v>
      </c>
      <c r="F570" s="1">
        <v>17.314184152643833</v>
      </c>
      <c r="G570" s="1">
        <v>-13.390079530117566</v>
      </c>
    </row>
    <row r="571" spans="2:7" x14ac:dyDescent="0.25">
      <c r="B571" s="1">
        <v>565</v>
      </c>
      <c r="C571" s="1">
        <v>8.0706790166627282</v>
      </c>
      <c r="D571" s="1">
        <v>-7.4386213155301624</v>
      </c>
      <c r="E571" s="1">
        <v>6.5937259545563327</v>
      </c>
      <c r="F571" s="1">
        <v>4.4292194673215031</v>
      </c>
      <c r="G571" s="1">
        <v>5.5144002742597484</v>
      </c>
    </row>
    <row r="572" spans="2:7" x14ac:dyDescent="0.25">
      <c r="B572" s="1">
        <v>566</v>
      </c>
      <c r="C572" s="1">
        <v>-3.1784745414485553</v>
      </c>
      <c r="D572" s="1">
        <v>4.6810378425953223</v>
      </c>
      <c r="E572" s="1">
        <v>-0.33615692274504871</v>
      </c>
      <c r="F572" s="1">
        <v>5.4287585113228634</v>
      </c>
      <c r="G572" s="1">
        <v>-10.683156285153103</v>
      </c>
    </row>
    <row r="573" spans="2:7" x14ac:dyDescent="0.25">
      <c r="B573" s="1">
        <v>567</v>
      </c>
      <c r="C573" s="1">
        <v>5.6006437663939144</v>
      </c>
      <c r="D573" s="1">
        <v>5.6378024532634727</v>
      </c>
      <c r="E573" s="1">
        <v>5.565823697398856</v>
      </c>
      <c r="F573" s="1">
        <v>3.0648052270296824</v>
      </c>
      <c r="G573" s="1">
        <v>14.684097177388251</v>
      </c>
    </row>
    <row r="574" spans="2:7" x14ac:dyDescent="0.25">
      <c r="B574" s="1">
        <v>568</v>
      </c>
      <c r="C574" s="1">
        <v>2.3154082032638512</v>
      </c>
      <c r="D574" s="1">
        <v>6.6095632740928716</v>
      </c>
      <c r="E574" s="1">
        <v>3.6440406168225832</v>
      </c>
      <c r="F574" s="1">
        <v>10.367237191631224</v>
      </c>
      <c r="G574" s="1">
        <v>11.414935326519146</v>
      </c>
    </row>
    <row r="575" spans="2:7" x14ac:dyDescent="0.25">
      <c r="B575" s="1">
        <v>569</v>
      </c>
      <c r="C575" s="1">
        <v>0.11818218963364968</v>
      </c>
      <c r="D575" s="1">
        <v>6.063552609023878</v>
      </c>
      <c r="E575" s="1">
        <v>-5.892970006417749</v>
      </c>
      <c r="F575" s="1">
        <v>13.304918991342392</v>
      </c>
      <c r="G575" s="1">
        <v>-14.853326599275459</v>
      </c>
    </row>
    <row r="576" spans="2:7" x14ac:dyDescent="0.25">
      <c r="B576" s="1">
        <v>570</v>
      </c>
      <c r="C576" s="1">
        <v>3.7272846779963449</v>
      </c>
      <c r="D576" s="1">
        <v>3.8482529412592199</v>
      </c>
      <c r="E576" s="1">
        <v>-2.9223874972796802</v>
      </c>
      <c r="F576" s="1">
        <v>8.1490067900658651</v>
      </c>
      <c r="G576" s="1">
        <v>18.856711074181003</v>
      </c>
    </row>
    <row r="577" spans="2:7" x14ac:dyDescent="0.25">
      <c r="B577" s="1">
        <v>571</v>
      </c>
      <c r="C577" s="1">
        <v>-2.1533645849136978</v>
      </c>
      <c r="D577" s="1">
        <v>-2.1089599361523468</v>
      </c>
      <c r="E577" s="1">
        <v>1.7730187366215746</v>
      </c>
      <c r="F577" s="1">
        <v>1.2358105803585997</v>
      </c>
      <c r="G577" s="1">
        <v>8.7105439862800154</v>
      </c>
    </row>
    <row r="578" spans="2:7" x14ac:dyDescent="0.25">
      <c r="B578" s="1">
        <v>572</v>
      </c>
      <c r="C578" s="1">
        <v>9.2842730388018779</v>
      </c>
      <c r="D578" s="1">
        <v>8.6894647134756049</v>
      </c>
      <c r="E578" s="1">
        <v>12.046336800905024</v>
      </c>
      <c r="F578" s="1">
        <v>21.390549167365982</v>
      </c>
      <c r="G578" s="1">
        <v>4.1820314289511309</v>
      </c>
    </row>
    <row r="579" spans="2:7" x14ac:dyDescent="0.25">
      <c r="B579" s="1">
        <v>573</v>
      </c>
      <c r="C579" s="1">
        <v>8.8769019460243133</v>
      </c>
      <c r="D579" s="1">
        <v>1.6350512746886321</v>
      </c>
      <c r="E579" s="1">
        <v>-1.1197951387725664</v>
      </c>
      <c r="F579" s="1">
        <v>-0.85643198204807991</v>
      </c>
      <c r="G579" s="1">
        <v>-5.2733719811219224</v>
      </c>
    </row>
    <row r="580" spans="2:7" x14ac:dyDescent="0.25">
      <c r="B580" s="1">
        <v>574</v>
      </c>
      <c r="C580" s="1">
        <v>-0.83857159878009613</v>
      </c>
      <c r="D580" s="1">
        <v>7.4718474408552442</v>
      </c>
      <c r="E580" s="1">
        <v>0.14919934356976711</v>
      </c>
      <c r="F580" s="1">
        <v>-9.92631991212264</v>
      </c>
      <c r="G580" s="1">
        <v>19.286657390667663</v>
      </c>
    </row>
    <row r="581" spans="2:7" x14ac:dyDescent="0.25">
      <c r="B581" s="1">
        <v>575</v>
      </c>
      <c r="C581" s="1">
        <v>4.5878091127445435</v>
      </c>
      <c r="D581" s="1">
        <v>8.6135474305732576</v>
      </c>
      <c r="E581" s="1">
        <v>10.697276009828894</v>
      </c>
      <c r="F581" s="1">
        <v>-10.050450127819019</v>
      </c>
      <c r="G581" s="1">
        <v>33.418388838786633</v>
      </c>
    </row>
    <row r="582" spans="2:7" x14ac:dyDescent="0.25">
      <c r="B582" s="1">
        <v>576</v>
      </c>
      <c r="C582" s="1">
        <v>-1.637856605867551</v>
      </c>
      <c r="D582" s="1">
        <v>4.9671300189094696</v>
      </c>
      <c r="E582" s="1">
        <v>4.5760880701851967</v>
      </c>
      <c r="F582" s="1">
        <v>1.192645320283535</v>
      </c>
      <c r="G582" s="1">
        <v>5.910210621121057</v>
      </c>
    </row>
    <row r="583" spans="2:7" x14ac:dyDescent="0.25">
      <c r="B583" s="1">
        <v>577</v>
      </c>
      <c r="C583" s="1">
        <v>5.8762621232474732</v>
      </c>
      <c r="D583" s="1">
        <v>10.150048730490624</v>
      </c>
      <c r="E583" s="1">
        <v>4.0623410315494066</v>
      </c>
      <c r="F583" s="1">
        <v>3.4525982850999681</v>
      </c>
      <c r="G583" s="1">
        <v>2.6227016236049856</v>
      </c>
    </row>
    <row r="584" spans="2:7" x14ac:dyDescent="0.25">
      <c r="B584" s="1">
        <v>578</v>
      </c>
      <c r="C584" s="1">
        <v>2.3064274645725136</v>
      </c>
      <c r="D584" s="1">
        <v>6.9772958445267408</v>
      </c>
      <c r="E584" s="1">
        <v>5.6642376772719887</v>
      </c>
      <c r="F584" s="1">
        <v>-0.11760265691197035</v>
      </c>
      <c r="G584" s="1">
        <v>-7.5437082570466849</v>
      </c>
    </row>
    <row r="585" spans="2:7" x14ac:dyDescent="0.25">
      <c r="B585" s="1">
        <v>579</v>
      </c>
      <c r="C585" s="1">
        <v>3.8354873537112839</v>
      </c>
      <c r="D585" s="1">
        <v>7.0539411388782485</v>
      </c>
      <c r="E585" s="1">
        <v>1.0627518459024885</v>
      </c>
      <c r="F585" s="1">
        <v>-2.1311237032633108</v>
      </c>
      <c r="G585" s="1">
        <v>4.1768062920238638</v>
      </c>
    </row>
    <row r="586" spans="2:7" x14ac:dyDescent="0.25">
      <c r="B586" s="1">
        <v>580</v>
      </c>
      <c r="C586" s="1">
        <v>7.3379254806594627</v>
      </c>
      <c r="D586" s="1">
        <v>-2.365815743743763</v>
      </c>
      <c r="E586" s="1">
        <v>0.19070619778566075</v>
      </c>
      <c r="F586" s="1">
        <v>10.850745601952527</v>
      </c>
      <c r="G586" s="1">
        <v>12.861577758109041</v>
      </c>
    </row>
    <row r="587" spans="2:7" x14ac:dyDescent="0.25">
      <c r="B587" s="1">
        <v>581</v>
      </c>
      <c r="C587" s="1">
        <v>2.1715403810005998</v>
      </c>
      <c r="D587" s="1">
        <v>3.7359862849098087</v>
      </c>
      <c r="E587" s="1">
        <v>2.5361272881253782</v>
      </c>
      <c r="F587" s="1">
        <v>4.4802647628842092</v>
      </c>
      <c r="G587" s="1">
        <v>7.773642563162575</v>
      </c>
    </row>
    <row r="588" spans="2:7" x14ac:dyDescent="0.25">
      <c r="B588" s="1">
        <v>582</v>
      </c>
      <c r="C588" s="1">
        <v>-0.84516587291776091</v>
      </c>
      <c r="D588" s="1">
        <v>10.04134629388858</v>
      </c>
      <c r="E588" s="1">
        <v>-8.3599622265093139</v>
      </c>
      <c r="F588" s="1">
        <v>1.359022218362463</v>
      </c>
      <c r="G588" s="1">
        <v>2.0143030277081246</v>
      </c>
    </row>
    <row r="589" spans="2:7" x14ac:dyDescent="0.25">
      <c r="B589" s="1">
        <v>583</v>
      </c>
      <c r="C589" s="1">
        <v>-1.050970712739451</v>
      </c>
      <c r="D589" s="1">
        <v>-0.44137647998626095</v>
      </c>
      <c r="E589" s="1">
        <v>11.164493901570861</v>
      </c>
      <c r="F589" s="1">
        <v>-10.282722300190361</v>
      </c>
      <c r="G589" s="1">
        <v>-2.7004264133379907</v>
      </c>
    </row>
    <row r="590" spans="2:7" x14ac:dyDescent="0.25">
      <c r="B590" s="1">
        <v>584</v>
      </c>
      <c r="C590" s="1">
        <v>9.4896381771666256</v>
      </c>
      <c r="D590" s="1">
        <v>12.757098068984787</v>
      </c>
      <c r="E590" s="1">
        <v>10.472854747586632</v>
      </c>
      <c r="F590" s="1">
        <v>13.325547723539939</v>
      </c>
      <c r="G590" s="1">
        <v>-0.38987882191698381</v>
      </c>
    </row>
    <row r="591" spans="2:7" x14ac:dyDescent="0.25">
      <c r="B591" s="1">
        <v>585</v>
      </c>
      <c r="C591" s="1">
        <v>3.7336036723488784</v>
      </c>
      <c r="D591" s="1">
        <v>12.573522205509924</v>
      </c>
      <c r="E591" s="1">
        <v>14.57019224095289</v>
      </c>
      <c r="F591" s="1">
        <v>14.994581899190322</v>
      </c>
      <c r="G591" s="1">
        <v>4.9134715461519338</v>
      </c>
    </row>
    <row r="592" spans="2:7" x14ac:dyDescent="0.25">
      <c r="B592" s="1">
        <v>586</v>
      </c>
      <c r="C592" s="1">
        <v>0.75267058959095756</v>
      </c>
      <c r="D592" s="1">
        <v>4.8481740559239679</v>
      </c>
      <c r="E592" s="1">
        <v>1.5499026266747338</v>
      </c>
      <c r="F592" s="1">
        <v>3.2628451913482106</v>
      </c>
      <c r="G592" s="1">
        <v>-8.862850060585</v>
      </c>
    </row>
    <row r="593" spans="2:7" x14ac:dyDescent="0.25">
      <c r="B593" s="1">
        <v>587</v>
      </c>
      <c r="C593" s="1">
        <v>0.97708421505590337</v>
      </c>
      <c r="D593" s="1">
        <v>6.0093017951221723</v>
      </c>
      <c r="E593" s="1">
        <v>-2.5468255106655166E-2</v>
      </c>
      <c r="F593" s="1">
        <v>8.6419789881807016</v>
      </c>
      <c r="G593" s="1">
        <v>5.1496685737108567</v>
      </c>
    </row>
    <row r="594" spans="2:7" x14ac:dyDescent="0.25">
      <c r="B594" s="1">
        <v>588</v>
      </c>
      <c r="C594" s="1">
        <v>7.0457436465022711</v>
      </c>
      <c r="D594" s="1">
        <v>9.4383693891980798</v>
      </c>
      <c r="E594" s="1">
        <v>15.524146276224103</v>
      </c>
      <c r="F594" s="1">
        <v>4.8051999261292978E-3</v>
      </c>
      <c r="G594" s="1">
        <v>-5.4584568531995084</v>
      </c>
    </row>
    <row r="595" spans="2:7" x14ac:dyDescent="0.25">
      <c r="B595" s="1">
        <v>589</v>
      </c>
      <c r="C595" s="1">
        <v>-0.23067845933344788</v>
      </c>
      <c r="D595" s="1">
        <v>-2.1604978476598404</v>
      </c>
      <c r="E595" s="1">
        <v>2.7542937275244603</v>
      </c>
      <c r="F595" s="1">
        <v>-6.4185027876367391</v>
      </c>
      <c r="G595" s="1">
        <v>-5.0374663931322994</v>
      </c>
    </row>
    <row r="596" spans="2:7" x14ac:dyDescent="0.25">
      <c r="B596" s="1">
        <v>590</v>
      </c>
      <c r="C596" s="1">
        <v>1.5122576826678733</v>
      </c>
      <c r="D596" s="1">
        <v>-0.64991979629219832</v>
      </c>
      <c r="E596" s="1">
        <v>-3.180585004844283</v>
      </c>
      <c r="F596" s="1">
        <v>2.4956222869423343</v>
      </c>
      <c r="G596" s="1">
        <v>-4.0332155386349244</v>
      </c>
    </row>
    <row r="597" spans="2:7" x14ac:dyDescent="0.25">
      <c r="B597" s="1">
        <v>591</v>
      </c>
      <c r="C597" s="1">
        <v>6.8713383946390447</v>
      </c>
      <c r="D597" s="1">
        <v>4.1956609347114409</v>
      </c>
      <c r="E597" s="1">
        <v>18.695327253530849</v>
      </c>
      <c r="F597" s="1">
        <v>6.1601706150317446</v>
      </c>
      <c r="G597" s="1">
        <v>-6.446971015589976</v>
      </c>
    </row>
    <row r="598" spans="2:7" x14ac:dyDescent="0.25">
      <c r="B598" s="1">
        <v>592</v>
      </c>
      <c r="C598" s="1">
        <v>2.5887768490846863</v>
      </c>
      <c r="D598" s="1">
        <v>7.3471735470526047</v>
      </c>
      <c r="E598" s="1">
        <v>8.1210883472144157</v>
      </c>
      <c r="F598" s="1">
        <v>9.2921702384849993</v>
      </c>
      <c r="G598" s="1">
        <v>9.8460117150682827</v>
      </c>
    </row>
    <row r="599" spans="2:7" x14ac:dyDescent="0.25">
      <c r="B599" s="1">
        <v>593</v>
      </c>
      <c r="C599" s="1">
        <v>2.2627593205707641</v>
      </c>
      <c r="D599" s="1">
        <v>4.3882846020884561</v>
      </c>
      <c r="E599" s="1">
        <v>11.304585487444042</v>
      </c>
      <c r="F599" s="1">
        <v>3.5600092665295655</v>
      </c>
      <c r="G599" s="1">
        <v>19.976620991447813</v>
      </c>
    </row>
    <row r="600" spans="2:7" x14ac:dyDescent="0.25">
      <c r="B600" s="1">
        <v>594</v>
      </c>
      <c r="C600" s="1">
        <v>2.4517061184782696</v>
      </c>
      <c r="D600" s="1">
        <v>1.4559139124087699</v>
      </c>
      <c r="E600" s="1">
        <v>6.9897704638504372</v>
      </c>
      <c r="F600" s="1">
        <v>-0.5818325016041187</v>
      </c>
      <c r="G600" s="1">
        <v>7.0128715425663302</v>
      </c>
    </row>
    <row r="601" spans="2:7" x14ac:dyDescent="0.25">
      <c r="B601" s="1">
        <v>595</v>
      </c>
      <c r="C601" s="1">
        <v>1.5607919558757326</v>
      </c>
      <c r="D601" s="1">
        <v>9.7448112449261295</v>
      </c>
      <c r="E601" s="1">
        <v>6.0123470513422328</v>
      </c>
      <c r="F601" s="1">
        <v>-1.1242147326875715</v>
      </c>
      <c r="G601" s="1">
        <v>9.4418033694349131</v>
      </c>
    </row>
    <row r="602" spans="2:7" x14ac:dyDescent="0.25">
      <c r="B602" s="1">
        <v>596</v>
      </c>
      <c r="C602" s="1">
        <v>4.3836636875842334</v>
      </c>
      <c r="D602" s="1">
        <v>-0.91187658216932288</v>
      </c>
      <c r="E602" s="1">
        <v>5.5524599579838245</v>
      </c>
      <c r="F602" s="1">
        <v>10.014586210511501</v>
      </c>
      <c r="G602" s="1">
        <v>15.933120219109608</v>
      </c>
    </row>
    <row r="603" spans="2:7" x14ac:dyDescent="0.25">
      <c r="B603" s="1">
        <v>597</v>
      </c>
      <c r="C603" s="1">
        <v>2.1652209551278805</v>
      </c>
      <c r="D603" s="1">
        <v>-2.5617593292659597</v>
      </c>
      <c r="E603" s="1">
        <v>11.683761329581683</v>
      </c>
      <c r="F603" s="1">
        <v>-7.3271133945657665</v>
      </c>
      <c r="G603" s="1">
        <v>14.692565505603174</v>
      </c>
    </row>
    <row r="604" spans="2:7" x14ac:dyDescent="0.25">
      <c r="B604" s="1">
        <v>598</v>
      </c>
      <c r="C604" s="1">
        <v>6.2202625190015999</v>
      </c>
      <c r="D604" s="1">
        <v>1.6000660879615594</v>
      </c>
      <c r="E604" s="1">
        <v>11.930590119672434</v>
      </c>
      <c r="F604" s="1">
        <v>4.9029413816166931</v>
      </c>
      <c r="G604" s="1">
        <v>18.187304954734046</v>
      </c>
    </row>
    <row r="605" spans="2:7" x14ac:dyDescent="0.25">
      <c r="B605" s="1">
        <v>599</v>
      </c>
      <c r="C605" s="1">
        <v>5.4383091605212339</v>
      </c>
      <c r="D605" s="1">
        <v>8.1296639863671238</v>
      </c>
      <c r="E605" s="1">
        <v>2.0836644985991925E-2</v>
      </c>
      <c r="F605" s="1">
        <v>-14.587458891420246</v>
      </c>
      <c r="G605" s="1">
        <v>17.562116984215134</v>
      </c>
    </row>
    <row r="606" spans="2:7" x14ac:dyDescent="0.25">
      <c r="B606" s="1">
        <v>600</v>
      </c>
      <c r="C606" s="1">
        <v>3.0477509872044122</v>
      </c>
      <c r="D606" s="1">
        <v>3.0423071779449189</v>
      </c>
      <c r="E606" s="1">
        <v>9.9974794763510477</v>
      </c>
      <c r="F606" s="1">
        <v>19.56349501586773</v>
      </c>
      <c r="G606" s="1">
        <v>-8.7810396871648795</v>
      </c>
    </row>
    <row r="607" spans="2:7" x14ac:dyDescent="0.25">
      <c r="B607" s="1">
        <v>601</v>
      </c>
      <c r="C607" s="1">
        <v>1.5867251341667181</v>
      </c>
      <c r="D607" s="1">
        <v>-1.7588393756525771</v>
      </c>
      <c r="E607" s="1">
        <v>1.5846521130916911</v>
      </c>
      <c r="F607" s="1">
        <v>-7.1252176045254654</v>
      </c>
      <c r="G607" s="1">
        <v>-8.7792049381719028</v>
      </c>
    </row>
    <row r="608" spans="2:7" x14ac:dyDescent="0.25">
      <c r="B608" s="1">
        <v>602</v>
      </c>
      <c r="C608" s="1">
        <v>-1.8085788792176833</v>
      </c>
      <c r="D608" s="1">
        <v>3.3127252664052347</v>
      </c>
      <c r="E608" s="1">
        <v>18.75457791056958</v>
      </c>
      <c r="F608" s="1">
        <v>10.129011812726617</v>
      </c>
      <c r="G608" s="1">
        <v>13.236523270873898</v>
      </c>
    </row>
    <row r="609" spans="2:7" x14ac:dyDescent="0.25">
      <c r="B609" s="1">
        <v>603</v>
      </c>
      <c r="C609" s="1">
        <v>1.5044144298852731</v>
      </c>
      <c r="D609" s="1">
        <v>9.2123009269797365</v>
      </c>
      <c r="E609" s="1">
        <v>5.4259606556599085</v>
      </c>
      <c r="F609" s="1">
        <v>12.971745320323658</v>
      </c>
      <c r="G609" s="1">
        <v>-4.5119738890410694</v>
      </c>
    </row>
    <row r="610" spans="2:7" x14ac:dyDescent="0.25">
      <c r="B610" s="1">
        <v>604</v>
      </c>
      <c r="C610" s="1">
        <v>1.361838222471337</v>
      </c>
      <c r="D610" s="1">
        <v>2.5963165960434211</v>
      </c>
      <c r="E610" s="1">
        <v>14.098912358302375</v>
      </c>
      <c r="F610" s="1">
        <v>12.505095360662915</v>
      </c>
      <c r="G610" s="1">
        <v>-5.8412337367048419</v>
      </c>
    </row>
    <row r="611" spans="2:7" x14ac:dyDescent="0.25">
      <c r="B611" s="1">
        <v>605</v>
      </c>
      <c r="C611" s="1">
        <v>0.31063654990976541</v>
      </c>
      <c r="D611" s="1">
        <v>6.4474556866367516</v>
      </c>
      <c r="E611" s="1">
        <v>0.32056618262287656</v>
      </c>
      <c r="F611" s="1">
        <v>6.0307778714689642</v>
      </c>
      <c r="G611" s="1">
        <v>13.775566673192547</v>
      </c>
    </row>
    <row r="612" spans="2:7" x14ac:dyDescent="0.25">
      <c r="B612" s="1">
        <v>606</v>
      </c>
      <c r="C612" s="1">
        <v>2.082782868149391</v>
      </c>
      <c r="D612" s="1">
        <v>3.0271109184291558</v>
      </c>
      <c r="E612" s="1">
        <v>-1.7795789774834128</v>
      </c>
      <c r="F612" s="1">
        <v>8.4083058794609435</v>
      </c>
      <c r="G612" s="1">
        <v>-11.979905272156913</v>
      </c>
    </row>
    <row r="613" spans="2:7" x14ac:dyDescent="0.25">
      <c r="B613" s="1">
        <v>607</v>
      </c>
      <c r="C613" s="1">
        <v>8.1217831458314578</v>
      </c>
      <c r="D613" s="1">
        <v>0.29468998277348046</v>
      </c>
      <c r="E613" s="1">
        <v>-1.1819770411879673</v>
      </c>
      <c r="F613" s="1">
        <v>16.210468542668568</v>
      </c>
      <c r="G613" s="1">
        <v>17.119845944167654</v>
      </c>
    </row>
    <row r="614" spans="2:7" x14ac:dyDescent="0.25">
      <c r="B614" s="1">
        <v>608</v>
      </c>
      <c r="C614" s="1">
        <v>6.8419548401854264</v>
      </c>
      <c r="D614" s="1">
        <v>5.8703773625786901</v>
      </c>
      <c r="E614" s="1">
        <v>-8.0933332684061163</v>
      </c>
      <c r="F614" s="1">
        <v>-5.2892370018905854</v>
      </c>
      <c r="G614" s="1">
        <v>-2.7867444102059475</v>
      </c>
    </row>
    <row r="615" spans="2:7" x14ac:dyDescent="0.25">
      <c r="B615" s="1">
        <v>609</v>
      </c>
      <c r="C615" s="1">
        <v>1.1818859352139923</v>
      </c>
      <c r="D615" s="1">
        <v>2.7343249809602819</v>
      </c>
      <c r="E615" s="1">
        <v>11.117769806114202</v>
      </c>
      <c r="F615" s="1">
        <v>1.7608214699179587</v>
      </c>
      <c r="G615" s="1">
        <v>-0.60826291319898762</v>
      </c>
    </row>
    <row r="616" spans="2:7" x14ac:dyDescent="0.25">
      <c r="B616" s="1">
        <v>610</v>
      </c>
      <c r="C616" s="1">
        <v>-1.7981444577676289</v>
      </c>
      <c r="D616" s="1">
        <v>6.5178278483204704</v>
      </c>
      <c r="E616" s="1">
        <v>-0.79732378970961337</v>
      </c>
      <c r="F616" s="1">
        <v>14.874427030440064</v>
      </c>
      <c r="G616" s="1">
        <v>2.8153630609854514</v>
      </c>
    </row>
    <row r="617" spans="2:7" x14ac:dyDescent="0.25">
      <c r="B617" s="1">
        <v>611</v>
      </c>
      <c r="C617" s="1">
        <v>7.5936100454394495</v>
      </c>
      <c r="D617" s="1">
        <v>6.8655043731119596</v>
      </c>
      <c r="E617" s="1">
        <v>8.3210069308102579</v>
      </c>
      <c r="F617" s="1">
        <v>8.206122972876603</v>
      </c>
      <c r="G617" s="1">
        <v>-13.783601427744987</v>
      </c>
    </row>
    <row r="618" spans="2:7" x14ac:dyDescent="0.25">
      <c r="B618" s="1">
        <v>612</v>
      </c>
      <c r="C618" s="1">
        <v>3.0329130934682849</v>
      </c>
      <c r="D618" s="1">
        <v>5.9768359816226884</v>
      </c>
      <c r="E618" s="1">
        <v>11.821910403194684</v>
      </c>
      <c r="F618" s="1">
        <v>21.103031844103828</v>
      </c>
      <c r="G618" s="1">
        <v>5.7947607978307225</v>
      </c>
    </row>
    <row r="619" spans="2:7" x14ac:dyDescent="0.25">
      <c r="B619" s="1">
        <v>613</v>
      </c>
      <c r="C619" s="1">
        <v>8.2832912881819318</v>
      </c>
      <c r="D619" s="1">
        <v>8.9695328375246799</v>
      </c>
      <c r="E619" s="1">
        <v>16.0560847502196</v>
      </c>
      <c r="F619" s="1">
        <v>15.297255364685531</v>
      </c>
      <c r="G619" s="1">
        <v>12.687180488496629</v>
      </c>
    </row>
    <row r="620" spans="2:7" x14ac:dyDescent="0.25">
      <c r="B620" s="1">
        <v>614</v>
      </c>
      <c r="C620" s="1">
        <v>0.60017226243012467</v>
      </c>
      <c r="D620" s="1">
        <v>-0.86786906844446599</v>
      </c>
      <c r="E620" s="1">
        <v>-2.5215823929049646</v>
      </c>
      <c r="F620" s="1">
        <v>27.367525894175952</v>
      </c>
      <c r="G620" s="1">
        <v>-7.8848721936612005</v>
      </c>
    </row>
    <row r="621" spans="2:7" x14ac:dyDescent="0.25">
      <c r="B621" s="1">
        <v>615</v>
      </c>
      <c r="C621" s="1">
        <v>3.1440441466546671</v>
      </c>
      <c r="D621" s="1">
        <v>9.0984339237344258</v>
      </c>
      <c r="E621" s="1">
        <v>11.917638772699121</v>
      </c>
      <c r="F621" s="1">
        <v>18.586670927389893</v>
      </c>
      <c r="G621" s="1">
        <v>17.721091877165943</v>
      </c>
    </row>
    <row r="622" spans="2:7" x14ac:dyDescent="0.25">
      <c r="B622" s="1">
        <v>616</v>
      </c>
      <c r="C622" s="1">
        <v>8.892234500501452</v>
      </c>
      <c r="D622" s="1">
        <v>8.3699521845868574</v>
      </c>
      <c r="E622" s="1">
        <v>12.934087284235208</v>
      </c>
      <c r="F622" s="1">
        <v>-3.0782541971774493</v>
      </c>
      <c r="G622" s="1">
        <v>3.1154985118426257</v>
      </c>
    </row>
    <row r="623" spans="2:7" x14ac:dyDescent="0.25">
      <c r="B623" s="1">
        <v>617</v>
      </c>
      <c r="C623" s="1">
        <v>7.4882140075496491</v>
      </c>
      <c r="D623" s="1">
        <v>3.4041719566626432</v>
      </c>
      <c r="E623" s="1">
        <v>7.2791880335144041</v>
      </c>
      <c r="F623" s="1">
        <v>8.3238915465672427</v>
      </c>
      <c r="G623" s="1">
        <v>11.454377278985445</v>
      </c>
    </row>
    <row r="624" spans="2:7" x14ac:dyDescent="0.25">
      <c r="B624" s="1">
        <v>618</v>
      </c>
      <c r="C624" s="1">
        <v>2.7872756090025184</v>
      </c>
      <c r="D624" s="1">
        <v>11.111076258692828</v>
      </c>
      <c r="E624" s="1">
        <v>1.484610952248302</v>
      </c>
      <c r="F624" s="1">
        <v>-14.126205578779139</v>
      </c>
      <c r="G624" s="1">
        <v>-7.9648161662480161</v>
      </c>
    </row>
    <row r="625" spans="2:7" x14ac:dyDescent="0.25">
      <c r="B625" s="1">
        <v>619</v>
      </c>
      <c r="C625" s="1">
        <v>3.3744410657108221</v>
      </c>
      <c r="D625" s="1">
        <v>2.0347184002901044</v>
      </c>
      <c r="E625" s="1">
        <v>1.4696818910148481</v>
      </c>
      <c r="F625" s="1">
        <v>-2.8248524770329229</v>
      </c>
      <c r="G625" s="1">
        <v>20.370966961907961</v>
      </c>
    </row>
    <row r="626" spans="2:7" x14ac:dyDescent="0.25">
      <c r="B626" s="1">
        <v>620</v>
      </c>
      <c r="C626" s="1">
        <v>0.18653902410733059</v>
      </c>
      <c r="D626" s="1">
        <v>-6.3492978903503606E-3</v>
      </c>
      <c r="E626" s="1">
        <v>7.3235727873160821</v>
      </c>
      <c r="F626" s="1">
        <v>13.3686456099185</v>
      </c>
      <c r="G626" s="1">
        <v>-3.2533928192497674</v>
      </c>
    </row>
    <row r="627" spans="2:7" x14ac:dyDescent="0.25">
      <c r="B627" s="1">
        <v>621</v>
      </c>
      <c r="C627" s="1">
        <v>8.1977318696629347</v>
      </c>
      <c r="D627" s="1">
        <v>13.164403518583333</v>
      </c>
      <c r="E627" s="1">
        <v>21.668537223535413</v>
      </c>
      <c r="F627" s="1">
        <v>-5.3221730336445932</v>
      </c>
      <c r="G627" s="1">
        <v>34.722994909670511</v>
      </c>
    </row>
    <row r="628" spans="2:7" x14ac:dyDescent="0.25">
      <c r="B628" s="1">
        <v>622</v>
      </c>
      <c r="C628" s="1">
        <v>-3.9030486402105025</v>
      </c>
      <c r="D628" s="1">
        <v>2.7852949050018609</v>
      </c>
      <c r="E628" s="1">
        <v>1.8403236543900259</v>
      </c>
      <c r="F628" s="1">
        <v>7.4863674780357314</v>
      </c>
      <c r="G628" s="1">
        <v>-7.6214086283340112</v>
      </c>
    </row>
    <row r="629" spans="2:7" x14ac:dyDescent="0.25">
      <c r="B629" s="1">
        <v>623</v>
      </c>
      <c r="C629" s="1">
        <v>1.9564356701788816</v>
      </c>
      <c r="D629" s="1">
        <v>-5.693968685460046</v>
      </c>
      <c r="E629" s="1">
        <v>6.6264486146177219</v>
      </c>
      <c r="F629" s="1">
        <v>5.0117630601240242</v>
      </c>
      <c r="G629" s="1">
        <v>2.3689153211335938</v>
      </c>
    </row>
    <row r="630" spans="2:7" x14ac:dyDescent="0.25">
      <c r="B630" s="1">
        <v>624</v>
      </c>
      <c r="C630" s="1">
        <v>0.70774330844554978</v>
      </c>
      <c r="D630" s="1">
        <v>6.9892316644189716</v>
      </c>
      <c r="E630" s="1">
        <v>-1.0148042828959425</v>
      </c>
      <c r="F630" s="1">
        <v>1.0342851865980249</v>
      </c>
      <c r="G630" s="1">
        <v>8.4502520191670456</v>
      </c>
    </row>
    <row r="631" spans="2:7" x14ac:dyDescent="0.25">
      <c r="B631" s="1">
        <v>625</v>
      </c>
      <c r="C631" s="1">
        <v>2.9572463573639718</v>
      </c>
      <c r="D631" s="1">
        <v>3.4824428633307738</v>
      </c>
      <c r="E631" s="1">
        <v>6.3493490155456973</v>
      </c>
      <c r="F631" s="1">
        <v>0.27868462628160956</v>
      </c>
      <c r="G631" s="1">
        <v>-0.77546458351400371</v>
      </c>
    </row>
    <row r="632" spans="2:7" x14ac:dyDescent="0.25">
      <c r="B632" s="1">
        <v>626</v>
      </c>
      <c r="C632" s="1">
        <v>0.88148004957372006</v>
      </c>
      <c r="D632" s="1">
        <v>0.48405786510575655</v>
      </c>
      <c r="E632" s="1">
        <v>3.0595154864028244</v>
      </c>
      <c r="F632" s="1">
        <v>-1.4202143271815859</v>
      </c>
      <c r="G632" s="1">
        <v>16.873268048623189</v>
      </c>
    </row>
    <row r="633" spans="2:7" x14ac:dyDescent="0.25">
      <c r="B633" s="1">
        <v>627</v>
      </c>
      <c r="C633" s="1">
        <v>8.4922056804159265</v>
      </c>
      <c r="D633" s="1">
        <v>8.398288280582296</v>
      </c>
      <c r="E633" s="1">
        <v>4.3279517129534639</v>
      </c>
      <c r="F633" s="1">
        <v>4.4637263239908078</v>
      </c>
      <c r="G633" s="1">
        <v>4.0740388607896758</v>
      </c>
    </row>
    <row r="634" spans="2:7" x14ac:dyDescent="0.25">
      <c r="B634" s="1">
        <v>628</v>
      </c>
      <c r="C634" s="1">
        <v>3.3145910256260751</v>
      </c>
      <c r="D634" s="1">
        <v>6.0487175400147031</v>
      </c>
      <c r="E634" s="1">
        <v>7.3219104758459537</v>
      </c>
      <c r="F634" s="1">
        <v>4.4753582577012869</v>
      </c>
      <c r="G634" s="1">
        <v>8.2753330703119357</v>
      </c>
    </row>
    <row r="635" spans="2:7" x14ac:dyDescent="0.25">
      <c r="B635" s="1">
        <v>629</v>
      </c>
      <c r="C635" s="1">
        <v>0.9786631601811</v>
      </c>
      <c r="D635" s="1">
        <v>4.0854947402110824</v>
      </c>
      <c r="E635" s="1">
        <v>8.2251311168366836</v>
      </c>
      <c r="F635" s="1">
        <v>10.611196767587881</v>
      </c>
      <c r="G635" s="1">
        <v>12.378710899710111</v>
      </c>
    </row>
    <row r="636" spans="2:7" x14ac:dyDescent="0.25">
      <c r="B636" s="1">
        <v>630</v>
      </c>
      <c r="C636" s="1">
        <v>1.1974696921131138</v>
      </c>
      <c r="D636" s="1">
        <v>0.70789191670715412</v>
      </c>
      <c r="E636" s="1">
        <v>16.137428975450749</v>
      </c>
      <c r="F636" s="1">
        <v>5.9875929545797772</v>
      </c>
      <c r="G636" s="1">
        <v>0.15095037855636209</v>
      </c>
    </row>
    <row r="637" spans="2:7" x14ac:dyDescent="0.25">
      <c r="B637" s="1">
        <v>631</v>
      </c>
      <c r="C637" s="1">
        <v>8.1570397383286153</v>
      </c>
      <c r="D637" s="1">
        <v>6.4118282300412908</v>
      </c>
      <c r="E637" s="1">
        <v>6.0064005932760569</v>
      </c>
      <c r="F637" s="1">
        <v>-2.768549434303186</v>
      </c>
      <c r="G637" s="1">
        <v>5.1733005934871183</v>
      </c>
    </row>
    <row r="638" spans="2:7" x14ac:dyDescent="0.25">
      <c r="B638" s="1">
        <v>632</v>
      </c>
      <c r="C638" s="1">
        <v>-0.24322757030577957</v>
      </c>
      <c r="D638" s="1">
        <v>0.83784727510507628</v>
      </c>
      <c r="E638" s="1">
        <v>4.8362052353572418</v>
      </c>
      <c r="F638" s="1">
        <v>1.1403531415685528</v>
      </c>
      <c r="G638" s="1">
        <v>-19.604776626889361</v>
      </c>
    </row>
    <row r="639" spans="2:7" x14ac:dyDescent="0.25">
      <c r="B639" s="1">
        <v>633</v>
      </c>
      <c r="C639" s="1">
        <v>2.8941000133131691</v>
      </c>
      <c r="D639" s="1">
        <v>4.3117690562103341</v>
      </c>
      <c r="E639" s="1">
        <v>-2.8412278834937537</v>
      </c>
      <c r="F639" s="1">
        <v>17.211202258419231</v>
      </c>
      <c r="G639" s="1">
        <v>-10.195832892207028</v>
      </c>
    </row>
    <row r="640" spans="2:7" x14ac:dyDescent="0.25">
      <c r="B640" s="1">
        <v>634</v>
      </c>
      <c r="C640" s="1">
        <v>-1.9166111949573148</v>
      </c>
      <c r="D640" s="1">
        <v>0.25237595213373798</v>
      </c>
      <c r="E640" s="1">
        <v>-6.3114553579136148</v>
      </c>
      <c r="F640" s="1">
        <v>6.7152371014123595</v>
      </c>
      <c r="G640" s="1">
        <v>4.0646127820318334</v>
      </c>
    </row>
    <row r="641" spans="2:7" x14ac:dyDescent="0.25">
      <c r="B641" s="1">
        <v>635</v>
      </c>
      <c r="C641" s="1">
        <v>9.6202313962095189</v>
      </c>
      <c r="D641" s="1">
        <v>10.163641480633004</v>
      </c>
      <c r="E641" s="1">
        <v>11.726512947303325</v>
      </c>
      <c r="F641" s="1">
        <v>19.958592217789505</v>
      </c>
      <c r="G641" s="1">
        <v>0.71439614110560201</v>
      </c>
    </row>
    <row r="642" spans="2:7" x14ac:dyDescent="0.25">
      <c r="B642" s="1">
        <v>636</v>
      </c>
      <c r="C642" s="1">
        <v>2.5128515624123722</v>
      </c>
      <c r="D642" s="1">
        <v>3.7116890211369942</v>
      </c>
      <c r="E642" s="1">
        <v>4.9021178448427012</v>
      </c>
      <c r="F642" s="1">
        <v>-11.836374179183775</v>
      </c>
      <c r="G642" s="1">
        <v>2.4489458616875406</v>
      </c>
    </row>
    <row r="643" spans="2:7" x14ac:dyDescent="0.25">
      <c r="B643" s="1">
        <v>637</v>
      </c>
      <c r="C643" s="1">
        <v>2.182665541182736</v>
      </c>
      <c r="D643" s="1">
        <v>2.1742471871081488</v>
      </c>
      <c r="E643" s="1">
        <v>3.1524334323771011E-2</v>
      </c>
      <c r="F643" s="1">
        <v>10.811770484423317</v>
      </c>
      <c r="G643" s="1">
        <v>22.151623488024835</v>
      </c>
    </row>
    <row r="644" spans="2:7" x14ac:dyDescent="0.25">
      <c r="B644" s="1">
        <v>638</v>
      </c>
      <c r="C644" s="1">
        <v>5.816327388527851</v>
      </c>
      <c r="D644" s="1">
        <v>4.5393780035580118</v>
      </c>
      <c r="E644" s="1">
        <v>5.6137033519305897</v>
      </c>
      <c r="F644" s="1">
        <v>-1.7706000965888824</v>
      </c>
      <c r="G644" s="1">
        <v>8.4119097604982365</v>
      </c>
    </row>
    <row r="645" spans="2:7" x14ac:dyDescent="0.25">
      <c r="B645" s="1">
        <v>639</v>
      </c>
      <c r="C645" s="1">
        <v>2.3285527555000902</v>
      </c>
      <c r="D645" s="1">
        <v>1.5491356510731364</v>
      </c>
      <c r="E645" s="1">
        <v>15.834425842044919</v>
      </c>
      <c r="F645" s="1">
        <v>3.7749816482891001</v>
      </c>
      <c r="G645" s="1">
        <v>-7.5437306402316393</v>
      </c>
    </row>
    <row r="646" spans="2:7" x14ac:dyDescent="0.25">
      <c r="B646" s="1">
        <v>640</v>
      </c>
      <c r="C646" s="1">
        <v>4.9332419673938137</v>
      </c>
      <c r="D646" s="1">
        <v>10.734522476585115</v>
      </c>
      <c r="E646" s="1">
        <v>-1.727235707772814</v>
      </c>
      <c r="F646" s="1">
        <v>-13.940461903272388</v>
      </c>
      <c r="G646" s="1">
        <v>-12.10879081634087</v>
      </c>
    </row>
    <row r="647" spans="2:7" x14ac:dyDescent="0.25">
      <c r="B647" s="1">
        <v>641</v>
      </c>
      <c r="C647" s="1">
        <v>2.7431914834569358</v>
      </c>
      <c r="D647" s="1">
        <v>-1.4072680604234808</v>
      </c>
      <c r="E647" s="1">
        <v>9.2412548308494262</v>
      </c>
      <c r="F647" s="1">
        <v>-3.3694886028946827</v>
      </c>
      <c r="G647" s="1">
        <v>-2.502837544430387</v>
      </c>
    </row>
    <row r="648" spans="2:7" x14ac:dyDescent="0.25">
      <c r="B648" s="1">
        <v>642</v>
      </c>
      <c r="C648" s="1">
        <v>4.2616060467877945</v>
      </c>
      <c r="D648" s="1">
        <v>-0.9332242270268809</v>
      </c>
      <c r="E648" s="1">
        <v>14.05382280412668</v>
      </c>
      <c r="F648" s="1">
        <v>-0.28649957294324224</v>
      </c>
      <c r="G648" s="1">
        <v>19.4319711629586</v>
      </c>
    </row>
    <row r="649" spans="2:7" x14ac:dyDescent="0.25">
      <c r="B649" s="1">
        <v>643</v>
      </c>
      <c r="C649" s="1">
        <v>-1.0617507882562642</v>
      </c>
      <c r="D649" s="1">
        <v>3.1775132459724875</v>
      </c>
      <c r="E649" s="1">
        <v>-20.034407401349192</v>
      </c>
      <c r="F649" s="1">
        <v>6.6425168413043378</v>
      </c>
      <c r="G649" s="1">
        <v>15.127660794149438</v>
      </c>
    </row>
    <row r="650" spans="2:7" x14ac:dyDescent="0.25">
      <c r="B650" s="1">
        <v>644</v>
      </c>
      <c r="C650" s="1">
        <v>7.3809715349617804</v>
      </c>
      <c r="D650" s="1">
        <v>13.264270395244061</v>
      </c>
      <c r="E650" s="1">
        <v>19.658929114899923</v>
      </c>
      <c r="F650" s="1">
        <v>16.850749156859159</v>
      </c>
      <c r="G650" s="1">
        <v>3.5863101919020979</v>
      </c>
    </row>
    <row r="651" spans="2:7" x14ac:dyDescent="0.25">
      <c r="B651" s="1">
        <v>645</v>
      </c>
      <c r="C651" s="1">
        <v>0.20290102839787494</v>
      </c>
      <c r="D651" s="1">
        <v>2.7168731372694683</v>
      </c>
      <c r="E651" s="1">
        <v>-2.5627902598213366</v>
      </c>
      <c r="F651" s="1">
        <v>-10.500950160804537</v>
      </c>
      <c r="G651" s="1">
        <v>-3.8011372941402818E-2</v>
      </c>
    </row>
    <row r="652" spans="2:7" x14ac:dyDescent="0.25">
      <c r="B652" s="1">
        <v>646</v>
      </c>
      <c r="C652" s="1">
        <v>2.8358057554132925</v>
      </c>
      <c r="D652" s="1">
        <v>2.256074333647748</v>
      </c>
      <c r="E652" s="1">
        <v>-5.3705559556616658</v>
      </c>
      <c r="F652" s="1">
        <v>-2.3835404048073006</v>
      </c>
      <c r="G652" s="1">
        <v>20.550535825279514</v>
      </c>
    </row>
    <row r="653" spans="2:7" x14ac:dyDescent="0.25">
      <c r="B653" s="1">
        <v>647</v>
      </c>
      <c r="C653" s="1">
        <v>2.0115771273655492</v>
      </c>
      <c r="D653" s="1">
        <v>0.60729341707551632</v>
      </c>
      <c r="E653" s="1">
        <v>-9.2350134945163305</v>
      </c>
      <c r="F653" s="1">
        <v>5.507382297453951</v>
      </c>
      <c r="G653" s="1">
        <v>2.1872092778685399</v>
      </c>
    </row>
    <row r="654" spans="2:7" x14ac:dyDescent="0.25">
      <c r="B654" s="1">
        <v>648</v>
      </c>
      <c r="C654" s="1">
        <v>3.5229299339849534</v>
      </c>
      <c r="D654" s="1">
        <v>2.2198022580108057</v>
      </c>
      <c r="E654" s="1">
        <v>17.384915631708381</v>
      </c>
      <c r="F654" s="1">
        <v>23.171305965162556</v>
      </c>
      <c r="G654" s="1">
        <v>-0.29226214536038836</v>
      </c>
    </row>
    <row r="655" spans="2:7" x14ac:dyDescent="0.25">
      <c r="B655" s="1">
        <v>649</v>
      </c>
      <c r="C655" s="1">
        <v>7.8087057875536772</v>
      </c>
      <c r="D655" s="1">
        <v>7.9668084297920911</v>
      </c>
      <c r="E655" s="1">
        <v>-9.3912841294605336</v>
      </c>
      <c r="F655" s="1">
        <v>19.326666220249308</v>
      </c>
      <c r="G655" s="1">
        <v>14.007141670794438</v>
      </c>
    </row>
    <row r="656" spans="2:7" x14ac:dyDescent="0.25">
      <c r="B656" s="1">
        <v>650</v>
      </c>
      <c r="C656" s="1">
        <v>-0.3979585368895302</v>
      </c>
      <c r="D656" s="1">
        <v>-1.0781132400744435</v>
      </c>
      <c r="E656" s="1">
        <v>-11.364908188280101</v>
      </c>
      <c r="F656" s="1">
        <v>-5.8363354139803727</v>
      </c>
      <c r="G656" s="1">
        <v>7.7560254069942136</v>
      </c>
    </row>
    <row r="657" spans="2:7" x14ac:dyDescent="0.25">
      <c r="B657" s="1">
        <v>651</v>
      </c>
      <c r="C657" s="1">
        <v>7.1382445765247038</v>
      </c>
      <c r="D657" s="1">
        <v>4.368982244486932</v>
      </c>
      <c r="E657" s="1">
        <v>20.369012954168422</v>
      </c>
      <c r="F657" s="1">
        <v>-2.6327114805669853</v>
      </c>
      <c r="G657" s="1">
        <v>-11.32437297747053</v>
      </c>
    </row>
    <row r="658" spans="2:7" x14ac:dyDescent="0.25">
      <c r="B658" s="1">
        <v>652</v>
      </c>
      <c r="C658" s="1">
        <v>-0.35286158874119877</v>
      </c>
      <c r="D658" s="1">
        <v>-2.6678797957309466</v>
      </c>
      <c r="E658" s="1">
        <v>-1.6547892089814944</v>
      </c>
      <c r="F658" s="1">
        <v>1.2449321922032979</v>
      </c>
      <c r="G658" s="1">
        <v>11.476420236083404</v>
      </c>
    </row>
    <row r="659" spans="2:7" x14ac:dyDescent="0.25">
      <c r="B659" s="1">
        <v>653</v>
      </c>
      <c r="C659" s="1">
        <v>6.3218664719112843</v>
      </c>
      <c r="D659" s="1">
        <v>9.804145417457228</v>
      </c>
      <c r="E659" s="1">
        <v>5.2971948956357853</v>
      </c>
      <c r="F659" s="1">
        <v>5.2680667640645105</v>
      </c>
      <c r="G659" s="1">
        <v>24.887487688567759</v>
      </c>
    </row>
    <row r="660" spans="2:7" x14ac:dyDescent="0.25">
      <c r="B660" s="1">
        <v>654</v>
      </c>
      <c r="C660" s="1">
        <v>8.3429265989939303</v>
      </c>
      <c r="D660" s="1">
        <v>10.470389746838716</v>
      </c>
      <c r="E660" s="1">
        <v>-0.39295802106898375</v>
      </c>
      <c r="F660" s="1">
        <v>1.2345429799063596</v>
      </c>
      <c r="G660" s="1">
        <v>10.498234728953854</v>
      </c>
    </row>
    <row r="661" spans="2:7" x14ac:dyDescent="0.25">
      <c r="B661" s="1">
        <v>655</v>
      </c>
      <c r="C661" s="1">
        <v>4.5967633776379619</v>
      </c>
      <c r="D661" s="1">
        <v>4.3610521911669675</v>
      </c>
      <c r="E661" s="1">
        <v>10.657891120825827</v>
      </c>
      <c r="F661" s="1">
        <v>-2.5866327140543901</v>
      </c>
      <c r="G661" s="1">
        <v>13.245254103694192</v>
      </c>
    </row>
    <row r="662" spans="2:7" x14ac:dyDescent="0.25">
      <c r="B662" s="1">
        <v>656</v>
      </c>
      <c r="C662" s="1">
        <v>5.1769967354056199</v>
      </c>
      <c r="D662" s="1">
        <v>7.8536448731725015</v>
      </c>
      <c r="E662" s="1">
        <v>19.45172974145267</v>
      </c>
      <c r="F662" s="1">
        <v>8.3629389252183248</v>
      </c>
      <c r="G662" s="1">
        <v>9.3904939311006626</v>
      </c>
    </row>
    <row r="663" spans="2:7" x14ac:dyDescent="0.25">
      <c r="B663" s="1">
        <v>657</v>
      </c>
      <c r="C663" s="1">
        <v>6.9213658212087221</v>
      </c>
      <c r="D663" s="1">
        <v>10.76377518177601</v>
      </c>
      <c r="E663" s="1">
        <v>2.4743606144912804</v>
      </c>
      <c r="F663" s="1">
        <v>-3.7458092946489976</v>
      </c>
      <c r="G663" s="1">
        <v>-3.2967675471507838</v>
      </c>
    </row>
    <row r="664" spans="2:7" x14ac:dyDescent="0.25">
      <c r="B664" s="1">
        <v>658</v>
      </c>
      <c r="C664" s="1">
        <v>5.4969615640267211</v>
      </c>
      <c r="D664" s="1">
        <v>13.120618061707786</v>
      </c>
      <c r="E664" s="1">
        <v>13.078150440411083</v>
      </c>
      <c r="F664" s="1">
        <v>7.4252768092337426E-2</v>
      </c>
      <c r="G664" s="1">
        <v>8.0885349510271585</v>
      </c>
    </row>
    <row r="665" spans="2:7" x14ac:dyDescent="0.25">
      <c r="B665" s="1">
        <v>659</v>
      </c>
      <c r="C665" s="1">
        <v>1.4692475617198686</v>
      </c>
      <c r="D665" s="1">
        <v>0.65597742126390302</v>
      </c>
      <c r="E665" s="1">
        <v>3.6741702316777878</v>
      </c>
      <c r="F665" s="1">
        <v>-10.944782238793445</v>
      </c>
      <c r="G665" s="1">
        <v>8.0260807436131234</v>
      </c>
    </row>
    <row r="666" spans="2:7" x14ac:dyDescent="0.25">
      <c r="B666" s="1">
        <v>660</v>
      </c>
      <c r="C666" s="1">
        <v>-0.35708957716953638</v>
      </c>
      <c r="D666" s="1">
        <v>2.7741540008186347</v>
      </c>
      <c r="E666" s="1">
        <v>-3.5556783009590269</v>
      </c>
      <c r="F666" s="1">
        <v>-6.1259254331895416</v>
      </c>
      <c r="G666" s="1">
        <v>26.42497068623263</v>
      </c>
    </row>
    <row r="667" spans="2:7" x14ac:dyDescent="0.25">
      <c r="B667" s="1">
        <v>661</v>
      </c>
      <c r="C667" s="1">
        <v>3.8320962937836742</v>
      </c>
      <c r="D667" s="1">
        <v>3.2263675188315766</v>
      </c>
      <c r="E667" s="1">
        <v>6.3902984141129417</v>
      </c>
      <c r="F667" s="1">
        <v>-0.36562776485343862</v>
      </c>
      <c r="G667" s="1">
        <v>15.521811832219436</v>
      </c>
    </row>
    <row r="668" spans="2:7" x14ac:dyDescent="0.25">
      <c r="B668" s="1">
        <v>662</v>
      </c>
      <c r="C668" s="1">
        <v>2.3680187941888793</v>
      </c>
      <c r="D668" s="1">
        <v>7.5855589539467729</v>
      </c>
      <c r="E668" s="1">
        <v>4.3177625604517278</v>
      </c>
      <c r="F668" s="1">
        <v>16.793636881280371</v>
      </c>
      <c r="G668" s="1">
        <v>-10.217774325696196</v>
      </c>
    </row>
    <row r="669" spans="2:7" x14ac:dyDescent="0.25">
      <c r="B669" s="1">
        <v>663</v>
      </c>
      <c r="C669" s="1">
        <v>0.15580966607091007</v>
      </c>
      <c r="D669" s="1">
        <v>7.0484403267418294</v>
      </c>
      <c r="E669" s="1">
        <v>-10.161313755381677</v>
      </c>
      <c r="F669" s="1">
        <v>14.535227530821674</v>
      </c>
      <c r="G669" s="1">
        <v>25.399525839513828</v>
      </c>
    </row>
    <row r="670" spans="2:7" x14ac:dyDescent="0.25">
      <c r="B670" s="1">
        <v>664</v>
      </c>
      <c r="C670" s="1">
        <v>9.1460473081804405</v>
      </c>
      <c r="D670" s="1">
        <v>6.7136162550177385</v>
      </c>
      <c r="E670" s="1">
        <v>23.836929552301903</v>
      </c>
      <c r="F670" s="1">
        <v>11.170658244625834</v>
      </c>
      <c r="G670" s="1">
        <v>4.3531706355685191</v>
      </c>
    </row>
    <row r="671" spans="2:7" x14ac:dyDescent="0.25">
      <c r="B671" s="1">
        <v>665</v>
      </c>
      <c r="C671" s="1">
        <v>0.62217680098934425</v>
      </c>
      <c r="D671" s="1">
        <v>0.5025033734779677</v>
      </c>
      <c r="E671" s="1">
        <v>10.337299890093966</v>
      </c>
      <c r="F671" s="1">
        <v>-5.1798658577435779</v>
      </c>
      <c r="G671" s="1">
        <v>-3.616996547608292E-3</v>
      </c>
    </row>
    <row r="672" spans="2:7" x14ac:dyDescent="0.25">
      <c r="B672" s="1">
        <v>666</v>
      </c>
      <c r="C672" s="1">
        <v>2.5994753824400885</v>
      </c>
      <c r="D672" s="1">
        <v>-3.8085080090244867</v>
      </c>
      <c r="E672" s="1">
        <v>-1.876953848724451</v>
      </c>
      <c r="F672" s="1">
        <v>10.419534477717937</v>
      </c>
      <c r="G672" s="1">
        <v>17.954708671587738</v>
      </c>
    </row>
    <row r="673" spans="2:7" x14ac:dyDescent="0.25">
      <c r="B673" s="1">
        <v>667</v>
      </c>
      <c r="C673" s="1">
        <v>-1.410250244339919</v>
      </c>
      <c r="D673" s="1">
        <v>2.2968018521014733</v>
      </c>
      <c r="E673" s="1">
        <v>5.5372362334093443</v>
      </c>
      <c r="F673" s="1">
        <v>17.970146435912529</v>
      </c>
      <c r="G673" s="1">
        <v>-0.43096117136274892</v>
      </c>
    </row>
    <row r="674" spans="2:7" x14ac:dyDescent="0.25">
      <c r="B674" s="1">
        <v>668</v>
      </c>
      <c r="C674" s="1">
        <v>4.9944445006939642</v>
      </c>
      <c r="D674" s="1">
        <v>-1.7204892609108928</v>
      </c>
      <c r="E674" s="1">
        <v>4.4046646198107986</v>
      </c>
      <c r="F674" s="1">
        <v>13.901887374929245</v>
      </c>
      <c r="G674" s="1">
        <v>15.353247371422322</v>
      </c>
    </row>
    <row r="675" spans="2:7" x14ac:dyDescent="0.25">
      <c r="B675" s="1">
        <v>669</v>
      </c>
      <c r="C675" s="1">
        <v>1.9894767422198201</v>
      </c>
      <c r="D675" s="1">
        <v>1.0294434632845983</v>
      </c>
      <c r="E675" s="1">
        <v>1.8942549790395267</v>
      </c>
      <c r="F675" s="1">
        <v>8.0853952024059232</v>
      </c>
      <c r="G675" s="1">
        <v>32.315673935837481</v>
      </c>
    </row>
    <row r="676" spans="2:7" x14ac:dyDescent="0.25">
      <c r="B676" s="1">
        <v>670</v>
      </c>
      <c r="C676" s="1">
        <v>3.2614022688368016</v>
      </c>
      <c r="D676" s="1">
        <v>7.7598398415022327</v>
      </c>
      <c r="E676" s="1">
        <v>-1.3480410679023354</v>
      </c>
      <c r="F676" s="1">
        <v>-4.0138554361225482</v>
      </c>
      <c r="G676" s="1">
        <v>-24.882588886294226</v>
      </c>
    </row>
    <row r="677" spans="2:7" x14ac:dyDescent="0.25">
      <c r="B677" s="1">
        <v>671</v>
      </c>
      <c r="C677" s="1">
        <v>1.0544466655555298</v>
      </c>
      <c r="D677" s="1">
        <v>-3.3936182293603387</v>
      </c>
      <c r="E677" s="1">
        <v>1.2592939013530309</v>
      </c>
      <c r="F677" s="1">
        <v>6.8793567199432353</v>
      </c>
      <c r="G677" s="1">
        <v>2.0119018279950858</v>
      </c>
    </row>
    <row r="678" spans="2:7" x14ac:dyDescent="0.25">
      <c r="B678" s="1">
        <v>672</v>
      </c>
      <c r="C678" s="1">
        <v>7.7693523750762674</v>
      </c>
      <c r="D678" s="1">
        <v>13.531218446790801</v>
      </c>
      <c r="E678" s="1">
        <v>1.0451217294364354</v>
      </c>
      <c r="F678" s="1">
        <v>11.495252446376362</v>
      </c>
      <c r="G678" s="1">
        <v>7.2384113943533137</v>
      </c>
    </row>
    <row r="679" spans="2:7" x14ac:dyDescent="0.25">
      <c r="B679" s="1">
        <v>673</v>
      </c>
      <c r="C679" s="1">
        <v>0.4948516798233511</v>
      </c>
      <c r="D679" s="1">
        <v>3.7842001851996194</v>
      </c>
      <c r="E679" s="1">
        <v>6.3097633491934326</v>
      </c>
      <c r="F679" s="1">
        <v>5.1299274915500828</v>
      </c>
      <c r="G679" s="1">
        <v>-9.8528717284207872</v>
      </c>
    </row>
    <row r="680" spans="2:7" x14ac:dyDescent="0.25">
      <c r="B680" s="1">
        <v>674</v>
      </c>
      <c r="C680" s="1">
        <v>5.8962450973148428</v>
      </c>
      <c r="D680" s="1">
        <v>4.1800219952960083</v>
      </c>
      <c r="E680" s="1">
        <v>10.923592917847513</v>
      </c>
      <c r="F680" s="1">
        <v>-4.9294822066742698</v>
      </c>
      <c r="G680" s="1">
        <v>-9.825882878391937</v>
      </c>
    </row>
    <row r="681" spans="2:7" x14ac:dyDescent="0.25">
      <c r="B681" s="1">
        <v>675</v>
      </c>
      <c r="C681" s="1">
        <v>-0.95054708593030801</v>
      </c>
      <c r="D681" s="1">
        <v>5.2001786166928126</v>
      </c>
      <c r="E681" s="1">
        <v>-4.7878482154684932</v>
      </c>
      <c r="F681" s="1">
        <v>-2.3244474628488501</v>
      </c>
      <c r="G681" s="1">
        <v>-3.4597745310610861</v>
      </c>
    </row>
    <row r="682" spans="2:7" x14ac:dyDescent="0.25">
      <c r="B682" s="1">
        <v>676</v>
      </c>
      <c r="C682" s="1">
        <v>0.47216810056897707</v>
      </c>
      <c r="D682" s="1">
        <v>14.102744483768292</v>
      </c>
      <c r="E682" s="1">
        <v>-2.3271283403225458</v>
      </c>
      <c r="F682" s="1">
        <v>-7.5766573456639525</v>
      </c>
      <c r="G682" s="1">
        <v>5.8449302533711265</v>
      </c>
    </row>
    <row r="683" spans="2:7" x14ac:dyDescent="0.25">
      <c r="B683" s="1">
        <v>677</v>
      </c>
      <c r="C683" s="1">
        <v>2.8858970637652308</v>
      </c>
      <c r="D683" s="1">
        <v>9.173730409852876</v>
      </c>
      <c r="E683" s="1">
        <v>12.6698411680474</v>
      </c>
      <c r="F683" s="1">
        <v>1.6599637887384331</v>
      </c>
      <c r="G683" s="1">
        <v>7.2643543350967779</v>
      </c>
    </row>
    <row r="684" spans="2:7" x14ac:dyDescent="0.25">
      <c r="B684" s="1">
        <v>678</v>
      </c>
      <c r="C684" s="1">
        <v>6.7408683994406209</v>
      </c>
      <c r="D684" s="1">
        <v>4.6848716200777112</v>
      </c>
      <c r="E684" s="1">
        <v>3.2029196712012369</v>
      </c>
      <c r="F684" s="1">
        <v>29.289576743313312</v>
      </c>
      <c r="G684" s="1">
        <v>12.4049637036444</v>
      </c>
    </row>
    <row r="685" spans="2:7" x14ac:dyDescent="0.25">
      <c r="B685" s="1">
        <v>679</v>
      </c>
      <c r="C685" s="1">
        <v>8.2099499925435406</v>
      </c>
      <c r="D685" s="1">
        <v>10.418501158528937</v>
      </c>
      <c r="E685" s="1">
        <v>8.2004549822990906</v>
      </c>
      <c r="F685" s="1">
        <v>9.2921722448950881</v>
      </c>
      <c r="G685" s="1">
        <v>19.712409041056265</v>
      </c>
    </row>
    <row r="686" spans="2:7" x14ac:dyDescent="0.25">
      <c r="B686" s="1">
        <v>680</v>
      </c>
      <c r="C686" s="1">
        <v>6.0893174133304084</v>
      </c>
      <c r="D686" s="1">
        <v>6.7891802184634349</v>
      </c>
      <c r="E686" s="1">
        <v>5.1738979434367742</v>
      </c>
      <c r="F686" s="1">
        <v>6.6159420103912714</v>
      </c>
      <c r="G686" s="1">
        <v>1.0050249255551742</v>
      </c>
    </row>
    <row r="687" spans="2:7" x14ac:dyDescent="0.25">
      <c r="B687" s="1">
        <v>681</v>
      </c>
      <c r="C687" s="1">
        <v>0.55098159125777801</v>
      </c>
      <c r="D687" s="1">
        <v>-7.5612077186008628</v>
      </c>
      <c r="E687" s="1">
        <v>-1.750204262145663</v>
      </c>
      <c r="F687" s="1">
        <v>-10.600785516017735</v>
      </c>
      <c r="G687" s="1">
        <v>5.8995562134815467</v>
      </c>
    </row>
    <row r="688" spans="2:7" x14ac:dyDescent="0.25">
      <c r="B688" s="1">
        <v>682</v>
      </c>
      <c r="C688" s="1">
        <v>3.5942508340975294</v>
      </c>
      <c r="D688" s="1">
        <v>6.3228748140561795</v>
      </c>
      <c r="E688" s="1">
        <v>-3.6673332429227776</v>
      </c>
      <c r="F688" s="1">
        <v>9.6602845510535253</v>
      </c>
      <c r="G688" s="1">
        <v>16.91793207965911</v>
      </c>
    </row>
    <row r="689" spans="2:7" x14ac:dyDescent="0.25">
      <c r="B689" s="1">
        <v>683</v>
      </c>
      <c r="C689" s="1">
        <v>1.8756346980119858</v>
      </c>
      <c r="D689" s="1">
        <v>8.1861528213619525</v>
      </c>
      <c r="E689" s="1">
        <v>4.0744505006985836</v>
      </c>
      <c r="F689" s="1">
        <v>14.726330015719306</v>
      </c>
      <c r="G689" s="1">
        <v>13.266453989671506</v>
      </c>
    </row>
    <row r="690" spans="2:7" x14ac:dyDescent="0.25">
      <c r="B690" s="1">
        <v>684</v>
      </c>
      <c r="C690" s="1">
        <v>5.303238915942261</v>
      </c>
      <c r="D690" s="1">
        <v>0.97603378780014949</v>
      </c>
      <c r="E690" s="1">
        <v>5.9064802017159144</v>
      </c>
      <c r="F690" s="1">
        <v>-12.340775738657499</v>
      </c>
      <c r="G690" s="1">
        <v>2.4113946763891172</v>
      </c>
    </row>
    <row r="691" spans="2:7" x14ac:dyDescent="0.25">
      <c r="B691" s="1">
        <v>685</v>
      </c>
      <c r="C691" s="1">
        <v>3.3566966102237306</v>
      </c>
      <c r="D691" s="1">
        <v>5.4925645188782948</v>
      </c>
      <c r="E691" s="1">
        <v>4.3074887566533659</v>
      </c>
      <c r="F691" s="1">
        <v>9.1864813192232102</v>
      </c>
      <c r="G691" s="1">
        <v>-0.24401806162703268</v>
      </c>
    </row>
    <row r="692" spans="2:7" x14ac:dyDescent="0.25">
      <c r="B692" s="1">
        <v>686</v>
      </c>
      <c r="C692" s="1">
        <v>6.7480772339669706</v>
      </c>
      <c r="D692" s="1">
        <v>3.2210852949302176</v>
      </c>
      <c r="E692" s="1">
        <v>5.1811261553139287</v>
      </c>
      <c r="F692" s="1">
        <v>20.571798303457442</v>
      </c>
      <c r="G692" s="1">
        <v>23.93186067998256</v>
      </c>
    </row>
    <row r="693" spans="2:7" x14ac:dyDescent="0.25">
      <c r="B693" s="1">
        <v>687</v>
      </c>
      <c r="C693" s="1">
        <v>3.1543647565221402</v>
      </c>
      <c r="D693" s="1">
        <v>-4.9217378830372454</v>
      </c>
      <c r="E693" s="1">
        <v>-3.2341562689459562</v>
      </c>
      <c r="F693" s="1">
        <v>-9.5584059997892989</v>
      </c>
      <c r="G693" s="1">
        <v>14.970429891767568</v>
      </c>
    </row>
    <row r="694" spans="2:7" x14ac:dyDescent="0.25">
      <c r="B694" s="1">
        <v>688</v>
      </c>
      <c r="C694" s="1">
        <v>5.2617422147582014</v>
      </c>
      <c r="D694" s="1">
        <v>0.81560726642721704</v>
      </c>
      <c r="E694" s="1">
        <v>14.134265484464503</v>
      </c>
      <c r="F694" s="1">
        <v>20.188199178238502</v>
      </c>
      <c r="G694" s="1">
        <v>16.691367082059095</v>
      </c>
    </row>
    <row r="695" spans="2:7" x14ac:dyDescent="0.25">
      <c r="B695" s="1">
        <v>689</v>
      </c>
      <c r="C695" s="1">
        <v>0.5621118577792299</v>
      </c>
      <c r="D695" s="1">
        <v>3.3796428841328341</v>
      </c>
      <c r="E695" s="1">
        <v>19.25359200834524</v>
      </c>
      <c r="F695" s="1">
        <v>7.1027075198702505</v>
      </c>
      <c r="G695" s="1">
        <v>21.53498294469216</v>
      </c>
    </row>
    <row r="696" spans="2:7" x14ac:dyDescent="0.25">
      <c r="B696" s="1">
        <v>690</v>
      </c>
      <c r="C696" s="1">
        <v>8.5667981234196091</v>
      </c>
      <c r="D696" s="1">
        <v>9.1017280674438688</v>
      </c>
      <c r="E696" s="1">
        <v>-1.6288107819658606</v>
      </c>
      <c r="F696" s="1">
        <v>2.8068723865647192</v>
      </c>
      <c r="G696" s="1">
        <v>21.005582824529313</v>
      </c>
    </row>
    <row r="697" spans="2:7" x14ac:dyDescent="0.25">
      <c r="B697" s="1">
        <v>691</v>
      </c>
      <c r="C697" s="1">
        <v>-1.8666732806699029</v>
      </c>
      <c r="D697" s="1">
        <v>-0.23107686938073821</v>
      </c>
      <c r="E697" s="1">
        <v>-3.6020248762766287</v>
      </c>
      <c r="F697" s="1">
        <v>3.2657020229568503</v>
      </c>
      <c r="G697" s="1">
        <v>-10.227377157902554</v>
      </c>
    </row>
    <row r="698" spans="2:7" x14ac:dyDescent="0.25">
      <c r="B698" s="1">
        <v>692</v>
      </c>
      <c r="C698" s="1">
        <v>-1.3434282146791228</v>
      </c>
      <c r="D698" s="1">
        <v>1.1552875554402422</v>
      </c>
      <c r="E698" s="1">
        <v>7.7369191752347222</v>
      </c>
      <c r="F698" s="1">
        <v>-6.3256731740915813</v>
      </c>
      <c r="G698" s="1">
        <v>5.1504789551703656</v>
      </c>
    </row>
    <row r="699" spans="2:7" x14ac:dyDescent="0.25">
      <c r="B699" s="1">
        <v>693</v>
      </c>
      <c r="C699" s="1">
        <v>-2.5884041691386628</v>
      </c>
      <c r="D699" s="1">
        <v>-5.6866983835400493</v>
      </c>
      <c r="E699" s="1">
        <v>4.6519768152179326</v>
      </c>
      <c r="F699" s="1">
        <v>-10.799539632437753</v>
      </c>
      <c r="G699" s="1">
        <v>-4.5402195946694768</v>
      </c>
    </row>
    <row r="700" spans="2:7" x14ac:dyDescent="0.25">
      <c r="B700" s="1">
        <v>694</v>
      </c>
      <c r="C700" s="1">
        <v>2.7177431608278759</v>
      </c>
      <c r="D700" s="1">
        <v>6.8263406896387808</v>
      </c>
      <c r="E700" s="1">
        <v>1.20405290291661</v>
      </c>
      <c r="F700" s="1">
        <v>0.25082649149536751</v>
      </c>
      <c r="G700" s="1">
        <v>-6.8564175955433493</v>
      </c>
    </row>
    <row r="701" spans="2:7" x14ac:dyDescent="0.25">
      <c r="B701" s="1">
        <v>695</v>
      </c>
      <c r="C701" s="1">
        <v>7.5421758241026726</v>
      </c>
      <c r="D701" s="1">
        <v>5.9329075893481136</v>
      </c>
      <c r="E701" s="1">
        <v>0.44719544992334076</v>
      </c>
      <c r="F701" s="1">
        <v>-2.6091655297521665</v>
      </c>
      <c r="G701" s="1">
        <v>-9.1655861991717718</v>
      </c>
    </row>
    <row r="702" spans="2:7" x14ac:dyDescent="0.25">
      <c r="B702" s="1">
        <v>696</v>
      </c>
      <c r="C702" s="1">
        <v>3.1069209788992644</v>
      </c>
      <c r="D702" s="1">
        <v>-1.0391698728472449</v>
      </c>
      <c r="E702" s="1">
        <v>-1.9027133957714644</v>
      </c>
      <c r="F702" s="1">
        <v>3.7641908722616289</v>
      </c>
      <c r="G702" s="1">
        <v>-25.018650550126537</v>
      </c>
    </row>
    <row r="703" spans="2:7" x14ac:dyDescent="0.25">
      <c r="B703" s="1">
        <v>697</v>
      </c>
      <c r="C703" s="1">
        <v>4.5483185440823855</v>
      </c>
      <c r="D703" s="1">
        <v>-0.11003205697067557</v>
      </c>
      <c r="E703" s="1">
        <v>8.2661840398809332</v>
      </c>
      <c r="F703" s="1">
        <v>-8.9737469126016478</v>
      </c>
      <c r="G703" s="1">
        <v>-13.589511713829094</v>
      </c>
    </row>
    <row r="704" spans="2:7" x14ac:dyDescent="0.25">
      <c r="B704" s="1">
        <v>698</v>
      </c>
      <c r="C704" s="1">
        <v>7.2848929759603074</v>
      </c>
      <c r="D704" s="1">
        <v>11.808638700835672</v>
      </c>
      <c r="E704" s="1">
        <v>0.93665207490386215</v>
      </c>
      <c r="F704" s="1">
        <v>9.1043200794389474</v>
      </c>
      <c r="G704" s="1">
        <v>1.0184058375840177</v>
      </c>
    </row>
    <row r="705" spans="2:7" x14ac:dyDescent="0.25">
      <c r="B705" s="1">
        <v>699</v>
      </c>
      <c r="C705" s="1">
        <v>-0.41626502547214272</v>
      </c>
      <c r="D705" s="1">
        <v>1.2210555820733047</v>
      </c>
      <c r="E705" s="1">
        <v>5.0084056382798989</v>
      </c>
      <c r="F705" s="1">
        <v>14.112769596161165</v>
      </c>
      <c r="G705" s="1">
        <v>-16.996884365926412</v>
      </c>
    </row>
    <row r="706" spans="2:7" x14ac:dyDescent="0.25">
      <c r="B706" s="1">
        <v>700</v>
      </c>
      <c r="C706" s="1">
        <v>7.7855079002547249</v>
      </c>
      <c r="D706" s="1">
        <v>-0.10562487304112306</v>
      </c>
      <c r="E706" s="1">
        <v>1.5996466757692394</v>
      </c>
      <c r="F706" s="1">
        <v>4.2472100308937035</v>
      </c>
      <c r="G706" s="1">
        <v>11.504576979463678</v>
      </c>
    </row>
    <row r="707" spans="2:7" x14ac:dyDescent="0.25">
      <c r="B707" s="1">
        <v>701</v>
      </c>
      <c r="C707" s="1">
        <v>6.7580818747467681</v>
      </c>
      <c r="D707" s="1">
        <v>7.8939950590117851</v>
      </c>
      <c r="E707" s="1">
        <v>2.0559053568945309</v>
      </c>
      <c r="F707" s="1">
        <v>13.358567755538658</v>
      </c>
      <c r="G707" s="1">
        <v>12.356436545887011</v>
      </c>
    </row>
    <row r="708" spans="2:7" x14ac:dyDescent="0.25">
      <c r="B708" s="1">
        <v>702</v>
      </c>
      <c r="C708" s="1">
        <v>6.1498322453394305</v>
      </c>
      <c r="D708" s="1">
        <v>5.381133877862073</v>
      </c>
      <c r="E708" s="1">
        <v>3.225362408561367</v>
      </c>
      <c r="F708" s="1">
        <v>-1.6487597980245057</v>
      </c>
      <c r="G708" s="1">
        <v>2.918985064129497</v>
      </c>
    </row>
    <row r="709" spans="2:7" x14ac:dyDescent="0.25">
      <c r="B709" s="1">
        <v>703</v>
      </c>
      <c r="C709" s="1">
        <v>10.014166515172059</v>
      </c>
      <c r="D709" s="1">
        <v>3.8531673468949141</v>
      </c>
      <c r="E709" s="1">
        <v>1.4874086281925405</v>
      </c>
      <c r="F709" s="1">
        <v>2.1031194048829556</v>
      </c>
      <c r="G709" s="1">
        <v>3.7044291072031008</v>
      </c>
    </row>
    <row r="710" spans="2:7" x14ac:dyDescent="0.25">
      <c r="B710" s="1">
        <v>704</v>
      </c>
      <c r="C710" s="1">
        <v>0.95876045461841963</v>
      </c>
      <c r="D710" s="1">
        <v>4.1804057227884854</v>
      </c>
      <c r="E710" s="1">
        <v>-1.8421505184824674</v>
      </c>
      <c r="F710" s="1">
        <v>-3.6828786155916924</v>
      </c>
      <c r="G710" s="1">
        <v>-2.9204838642130104</v>
      </c>
    </row>
    <row r="711" spans="2:7" x14ac:dyDescent="0.25">
      <c r="B711" s="1">
        <v>705</v>
      </c>
      <c r="C711" s="1">
        <v>2.6011777876205198</v>
      </c>
      <c r="D711" s="1">
        <v>-8.0061272292133747</v>
      </c>
      <c r="E711" s="1">
        <v>-3.7129374427587378</v>
      </c>
      <c r="F711" s="1">
        <v>-9.1387117390723507</v>
      </c>
      <c r="G711" s="1">
        <v>12.392926625902751</v>
      </c>
    </row>
    <row r="712" spans="2:7" x14ac:dyDescent="0.25">
      <c r="B712" s="1">
        <v>706</v>
      </c>
      <c r="C712" s="1">
        <v>8.5849002538728669</v>
      </c>
      <c r="D712" s="1">
        <v>8.2856271623063318</v>
      </c>
      <c r="E712" s="1">
        <v>18.717420556806005</v>
      </c>
      <c r="F712" s="1">
        <v>3.9840417993290922</v>
      </c>
      <c r="G712" s="1">
        <v>29.435195687431243</v>
      </c>
    </row>
    <row r="713" spans="2:7" x14ac:dyDescent="0.25">
      <c r="B713" s="1">
        <v>707</v>
      </c>
      <c r="C713" s="1">
        <v>-0.30076117147178882</v>
      </c>
      <c r="D713" s="1">
        <v>-5.6605407444180402</v>
      </c>
      <c r="E713" s="1">
        <v>3.407532737971716</v>
      </c>
      <c r="F713" s="1">
        <v>3.9449136702784102</v>
      </c>
      <c r="G713" s="1">
        <v>0.5624001219749285</v>
      </c>
    </row>
    <row r="714" spans="2:7" x14ac:dyDescent="0.25">
      <c r="B714" s="1">
        <v>708</v>
      </c>
      <c r="C714" s="1">
        <v>9.2003220811696416</v>
      </c>
      <c r="D714" s="1">
        <v>7.425979347583791</v>
      </c>
      <c r="E714" s="1">
        <v>14.214720766290514</v>
      </c>
      <c r="F714" s="1">
        <v>-3.4208177189709534</v>
      </c>
      <c r="G714" s="1">
        <v>24.54805121305392</v>
      </c>
    </row>
    <row r="715" spans="2:7" x14ac:dyDescent="0.25">
      <c r="B715" s="1">
        <v>709</v>
      </c>
      <c r="C715" s="1">
        <v>1.0350062523546435</v>
      </c>
      <c r="D715" s="1">
        <v>-1.0431055275850469</v>
      </c>
      <c r="E715" s="1">
        <v>1.428630338136377</v>
      </c>
      <c r="F715" s="1">
        <v>12.519899532312792</v>
      </c>
      <c r="G715" s="1">
        <v>7.3069952142933055</v>
      </c>
    </row>
    <row r="716" spans="2:7" x14ac:dyDescent="0.25">
      <c r="B716" s="1">
        <v>710</v>
      </c>
      <c r="C716" s="1">
        <v>-0.25342877927372465</v>
      </c>
      <c r="D716" s="1">
        <v>10.270348875835696</v>
      </c>
      <c r="E716" s="1">
        <v>-2.7687589559843242</v>
      </c>
      <c r="F716" s="1">
        <v>-5.3596103105987973</v>
      </c>
      <c r="G716" s="1">
        <v>4.3973894869458956</v>
      </c>
    </row>
    <row r="717" spans="2:7" x14ac:dyDescent="0.25">
      <c r="B717" s="1">
        <v>711</v>
      </c>
      <c r="C717" s="1">
        <v>3.2896763723519626</v>
      </c>
      <c r="D717" s="1">
        <v>1.3368692057157967</v>
      </c>
      <c r="E717" s="1">
        <v>15.11549043989058</v>
      </c>
      <c r="F717" s="1">
        <v>32.156971595536803</v>
      </c>
      <c r="G717" s="1">
        <v>-7.9942460765041172</v>
      </c>
    </row>
    <row r="718" spans="2:7" x14ac:dyDescent="0.25">
      <c r="B718" s="1">
        <v>712</v>
      </c>
      <c r="C718" s="1">
        <v>-2.4238880004276577</v>
      </c>
      <c r="D718" s="1">
        <v>-4.4801817106910464</v>
      </c>
      <c r="E718" s="1">
        <v>3.3760419155481616</v>
      </c>
      <c r="F718" s="1">
        <v>6.8193411749594626</v>
      </c>
      <c r="G718" s="1">
        <v>-3.9921318334686888</v>
      </c>
    </row>
    <row r="719" spans="2:7" x14ac:dyDescent="0.25">
      <c r="B719" s="1">
        <v>713</v>
      </c>
      <c r="C719" s="1">
        <v>1.2470738024003871</v>
      </c>
      <c r="D719" s="1">
        <v>-0.42246063140980844</v>
      </c>
      <c r="E719" s="1">
        <v>-1.2155324203132343</v>
      </c>
      <c r="F719" s="1">
        <v>0.40203347817283103</v>
      </c>
      <c r="G719" s="1">
        <v>-5.3975432294276011</v>
      </c>
    </row>
    <row r="720" spans="2:7" x14ac:dyDescent="0.25">
      <c r="B720" s="1">
        <v>714</v>
      </c>
      <c r="C720" s="1">
        <v>4.3600751084417304</v>
      </c>
      <c r="D720" s="1">
        <v>7.7490481233831359</v>
      </c>
      <c r="E720" s="1">
        <v>23.275326977313238</v>
      </c>
      <c r="F720" s="1">
        <v>15.630385621035161</v>
      </c>
      <c r="G720" s="1">
        <v>-5.9798260506782661</v>
      </c>
    </row>
    <row r="721" spans="2:7" x14ac:dyDescent="0.25">
      <c r="B721" s="1">
        <v>715</v>
      </c>
      <c r="C721" s="1">
        <v>-1.6954521359281913</v>
      </c>
      <c r="D721" s="1">
        <v>3.4137187666049038</v>
      </c>
      <c r="E721" s="1">
        <v>8.7974356525148405</v>
      </c>
      <c r="F721" s="1">
        <v>4.4968579470351555</v>
      </c>
      <c r="G721" s="1">
        <v>13.635356414246967</v>
      </c>
    </row>
    <row r="722" spans="2:7" x14ac:dyDescent="0.25">
      <c r="B722" s="1">
        <v>716</v>
      </c>
      <c r="C722" s="1">
        <v>5.8400508793608399</v>
      </c>
      <c r="D722" s="1">
        <v>-5.1823835683627806</v>
      </c>
      <c r="E722" s="1">
        <v>4.6461882765218521</v>
      </c>
      <c r="F722" s="1">
        <v>0.82954087916136399</v>
      </c>
      <c r="G722" s="1">
        <v>7.1081615850006434</v>
      </c>
    </row>
    <row r="723" spans="2:7" x14ac:dyDescent="0.25">
      <c r="B723" s="1">
        <v>717</v>
      </c>
      <c r="C723" s="1">
        <v>1.0044634837760693</v>
      </c>
      <c r="D723" s="1">
        <v>4.2689506016020804</v>
      </c>
      <c r="E723" s="1">
        <v>9.4947408490403529</v>
      </c>
      <c r="F723" s="1">
        <v>4.6803637245572389</v>
      </c>
      <c r="G723" s="1">
        <v>16.76303277125837</v>
      </c>
    </row>
    <row r="724" spans="2:7" x14ac:dyDescent="0.25">
      <c r="B724" s="1">
        <v>718</v>
      </c>
      <c r="C724" s="1">
        <v>3.603804501687411</v>
      </c>
      <c r="D724" s="1">
        <v>-4.012809998454812</v>
      </c>
      <c r="E724" s="1">
        <v>-10.174302758143279</v>
      </c>
      <c r="F724" s="1">
        <v>4.6913357796464963</v>
      </c>
      <c r="G724" s="1">
        <v>13.929389877313096</v>
      </c>
    </row>
    <row r="725" spans="2:7" x14ac:dyDescent="0.25">
      <c r="B725" s="1">
        <v>719</v>
      </c>
      <c r="C725" s="1">
        <v>0.11625025331371086</v>
      </c>
      <c r="D725" s="1">
        <v>2.6272708260029338</v>
      </c>
      <c r="E725" s="1">
        <v>-4.721531211168208</v>
      </c>
      <c r="F725" s="1">
        <v>4.7811357250584088</v>
      </c>
      <c r="G725" s="1">
        <v>-1.9741712155495799</v>
      </c>
    </row>
    <row r="726" spans="2:7" x14ac:dyDescent="0.25">
      <c r="B726" s="1">
        <v>720</v>
      </c>
      <c r="C726" s="1">
        <v>4.2163407451581714</v>
      </c>
      <c r="D726" s="1">
        <v>2.0548707474027612</v>
      </c>
      <c r="E726" s="1">
        <v>18.015634225825966</v>
      </c>
      <c r="F726" s="1">
        <v>14.687649089432684</v>
      </c>
      <c r="G726" s="1">
        <v>-7.7539239422611379</v>
      </c>
    </row>
    <row r="727" spans="2:7" x14ac:dyDescent="0.25">
      <c r="B727" s="1">
        <v>721</v>
      </c>
      <c r="C727" s="1">
        <v>5.3142390617501611</v>
      </c>
      <c r="D727" s="1">
        <v>0.19205505415492299</v>
      </c>
      <c r="E727" s="1">
        <v>-3.1346318048796449</v>
      </c>
      <c r="F727" s="1">
        <v>2.5424731526394297</v>
      </c>
      <c r="G727" s="1">
        <v>8.8880098625844912</v>
      </c>
    </row>
    <row r="728" spans="2:7" x14ac:dyDescent="0.25">
      <c r="B728" s="1">
        <v>722</v>
      </c>
      <c r="C728" s="1">
        <v>7.4749353144922059</v>
      </c>
      <c r="D728" s="1">
        <v>1.553481445462954</v>
      </c>
      <c r="E728" s="1">
        <v>8.856594926973715</v>
      </c>
      <c r="F728" s="1">
        <v>8.4982879971186218</v>
      </c>
      <c r="G728" s="1">
        <v>6.3922033262411171</v>
      </c>
    </row>
    <row r="729" spans="2:7" x14ac:dyDescent="0.25">
      <c r="B729" s="1">
        <v>723</v>
      </c>
      <c r="C729" s="1">
        <v>0.92605995917030448</v>
      </c>
      <c r="D729" s="1">
        <v>-1.1414282019163995</v>
      </c>
      <c r="E729" s="1">
        <v>5.1504468059285653</v>
      </c>
      <c r="F729" s="1">
        <v>-13.005937648598728</v>
      </c>
      <c r="G729" s="1">
        <v>-5.2379344992075465</v>
      </c>
    </row>
    <row r="730" spans="2:7" x14ac:dyDescent="0.25">
      <c r="B730" s="1">
        <v>724</v>
      </c>
      <c r="C730" s="1">
        <v>1.8477152051773862</v>
      </c>
      <c r="D730" s="1">
        <v>4.2174817460133198</v>
      </c>
      <c r="E730" s="1">
        <v>1.416690279686303</v>
      </c>
      <c r="F730" s="1">
        <v>7.7724739823099869</v>
      </c>
      <c r="G730" s="1">
        <v>18.05028066682242</v>
      </c>
    </row>
    <row r="731" spans="2:7" x14ac:dyDescent="0.25">
      <c r="B731" s="1">
        <v>725</v>
      </c>
      <c r="C731" s="1">
        <v>3.0958331374136909</v>
      </c>
      <c r="D731" s="1">
        <v>3.2286838691809305</v>
      </c>
      <c r="E731" s="1">
        <v>-5.5747414668554711</v>
      </c>
      <c r="F731" s="1">
        <v>22.932767575692878</v>
      </c>
      <c r="G731" s="1">
        <v>11.249585868339199</v>
      </c>
    </row>
    <row r="732" spans="2:7" x14ac:dyDescent="0.25">
      <c r="B732" s="1">
        <v>726</v>
      </c>
      <c r="C732" s="1">
        <v>4.9600547307146305</v>
      </c>
      <c r="D732" s="1">
        <v>6.9265614446732906</v>
      </c>
      <c r="E732" s="1">
        <v>12.895690028840441</v>
      </c>
      <c r="F732" s="1">
        <v>8.2200656684459172</v>
      </c>
      <c r="G732" s="1">
        <v>8.9189714604494004</v>
      </c>
    </row>
    <row r="733" spans="2:7" x14ac:dyDescent="0.25">
      <c r="B733" s="1">
        <v>727</v>
      </c>
      <c r="C733" s="1">
        <v>8.0108944074164228</v>
      </c>
      <c r="D733" s="1">
        <v>16.403881321156256</v>
      </c>
      <c r="E733" s="1">
        <v>5.6901756266560621</v>
      </c>
      <c r="F733" s="1">
        <v>21.046915207823069</v>
      </c>
      <c r="G733" s="1">
        <v>-3.779660774473804</v>
      </c>
    </row>
    <row r="734" spans="2:7" x14ac:dyDescent="0.25">
      <c r="B734" s="1">
        <v>728</v>
      </c>
      <c r="C734" s="1">
        <v>1.031396268799859</v>
      </c>
      <c r="D734" s="1">
        <v>4.7510568646223446</v>
      </c>
      <c r="E734" s="1">
        <v>4.4575967899345468</v>
      </c>
      <c r="F734" s="1">
        <v>12.872778776846152</v>
      </c>
      <c r="G734" s="1">
        <v>7.2244464130946406</v>
      </c>
    </row>
    <row r="735" spans="2:7" x14ac:dyDescent="0.25">
      <c r="B735" s="1">
        <v>729</v>
      </c>
      <c r="C735" s="1">
        <v>3.6826002884844451</v>
      </c>
      <c r="D735" s="1">
        <v>-1.0153513847817894</v>
      </c>
      <c r="E735" s="1">
        <v>-3.9896133065581139</v>
      </c>
      <c r="F735" s="1">
        <v>22.127451716212338</v>
      </c>
      <c r="G735" s="1">
        <v>-3.8025625675722452</v>
      </c>
    </row>
    <row r="736" spans="2:7" x14ac:dyDescent="0.25">
      <c r="B736" s="1">
        <v>730</v>
      </c>
      <c r="C736" s="1">
        <v>-0.37689139121370641</v>
      </c>
      <c r="D736" s="1">
        <v>-3.7329480850522443</v>
      </c>
      <c r="E736" s="1">
        <v>-0.12126207159415679</v>
      </c>
      <c r="F736" s="1">
        <v>20.720632263527232</v>
      </c>
      <c r="G736" s="1">
        <v>11.49339822562656</v>
      </c>
    </row>
    <row r="737" spans="2:7" x14ac:dyDescent="0.25">
      <c r="B737" s="1">
        <v>731</v>
      </c>
      <c r="C737" s="1">
        <v>7.2909005123921924</v>
      </c>
      <c r="D737" s="1">
        <v>9.698856981708408</v>
      </c>
      <c r="E737" s="1">
        <v>4.0767642239811774</v>
      </c>
      <c r="F737" s="1">
        <v>11.368717284834108</v>
      </c>
      <c r="G737" s="1">
        <v>26.582241919266199</v>
      </c>
    </row>
    <row r="738" spans="2:7" x14ac:dyDescent="0.25">
      <c r="B738" s="1">
        <v>732</v>
      </c>
      <c r="C738" s="1">
        <v>-0.31807231289333426</v>
      </c>
      <c r="D738" s="1">
        <v>3.0528946982736196</v>
      </c>
      <c r="E738" s="1">
        <v>-2.8436313016281818</v>
      </c>
      <c r="F738" s="1">
        <v>10.007839286482856</v>
      </c>
      <c r="G738" s="1">
        <v>7.5458766765471061</v>
      </c>
    </row>
    <row r="739" spans="2:7" x14ac:dyDescent="0.25">
      <c r="B739" s="1">
        <v>733</v>
      </c>
      <c r="C739" s="1">
        <v>2.9164991213843483</v>
      </c>
      <c r="D739" s="1">
        <v>1.0298683756471827</v>
      </c>
      <c r="E739" s="1">
        <v>-4.1815491182224616</v>
      </c>
      <c r="F739" s="1">
        <v>7.7147034672115238</v>
      </c>
      <c r="G739" s="1">
        <v>2.616004843761814</v>
      </c>
    </row>
    <row r="740" spans="2:7" x14ac:dyDescent="0.25">
      <c r="B740" s="1">
        <v>734</v>
      </c>
      <c r="C740" s="1">
        <v>-0.24377602200103254</v>
      </c>
      <c r="D740" s="1">
        <v>-6.2412984884188747</v>
      </c>
      <c r="E740" s="1">
        <v>-0.92714120042367654</v>
      </c>
      <c r="F740" s="1">
        <v>1.8804034006628225</v>
      </c>
      <c r="G740" s="1">
        <v>-7.8036483207273601</v>
      </c>
    </row>
    <row r="741" spans="2:7" x14ac:dyDescent="0.25">
      <c r="B741" s="1">
        <v>735</v>
      </c>
      <c r="C741" s="1">
        <v>0.78097414262072196</v>
      </c>
      <c r="D741" s="1">
        <v>3.7108301988294237</v>
      </c>
      <c r="E741" s="1">
        <v>-6.3210304064602001</v>
      </c>
      <c r="F741" s="1">
        <v>-2.1946597038111073</v>
      </c>
      <c r="G741" s="1">
        <v>0.63953507924132325</v>
      </c>
    </row>
    <row r="742" spans="2:7" x14ac:dyDescent="0.25">
      <c r="B742" s="1">
        <v>736</v>
      </c>
      <c r="C742" s="1">
        <v>6.8990043294763304</v>
      </c>
      <c r="D742" s="1">
        <v>9.6363654543843591</v>
      </c>
      <c r="E742" s="1">
        <v>0.51695820502031742</v>
      </c>
      <c r="F742" s="1">
        <v>-12.015135796348785</v>
      </c>
      <c r="G742" s="1">
        <v>10.12643397734127</v>
      </c>
    </row>
    <row r="743" spans="2:7" x14ac:dyDescent="0.25">
      <c r="B743" s="1">
        <v>737</v>
      </c>
      <c r="C743" s="1">
        <v>6.7121095151437524</v>
      </c>
      <c r="D743" s="1">
        <v>1.1687126959239211</v>
      </c>
      <c r="E743" s="1">
        <v>11.901817797386903</v>
      </c>
      <c r="F743" s="1">
        <v>6.9234760128453319</v>
      </c>
      <c r="G743" s="1">
        <v>1.3083226519349471</v>
      </c>
    </row>
    <row r="744" spans="2:7" x14ac:dyDescent="0.25">
      <c r="B744" s="1">
        <v>738</v>
      </c>
      <c r="C744" s="1">
        <v>4.929338921356055</v>
      </c>
      <c r="D744" s="1">
        <v>2.0507026767978225</v>
      </c>
      <c r="E744" s="1">
        <v>13.779992197276687</v>
      </c>
      <c r="F744" s="1">
        <v>-5.6009452839691241</v>
      </c>
      <c r="G744" s="1">
        <v>0.25090702667969655</v>
      </c>
    </row>
    <row r="745" spans="2:7" x14ac:dyDescent="0.25">
      <c r="B745" s="1">
        <v>739</v>
      </c>
      <c r="C745" s="1">
        <v>4.1777170108315111</v>
      </c>
      <c r="D745" s="1">
        <v>5.1055695419956511</v>
      </c>
      <c r="E745" s="1">
        <v>7.5022329571462283</v>
      </c>
      <c r="F745" s="1">
        <v>23.795015205774813</v>
      </c>
      <c r="G745" s="1">
        <v>-1.8417998771748081</v>
      </c>
    </row>
    <row r="746" spans="2:7" x14ac:dyDescent="0.25">
      <c r="B746" s="1">
        <v>740</v>
      </c>
      <c r="C746" s="1">
        <v>5.4972401881148238</v>
      </c>
      <c r="D746" s="1">
        <v>4.0766136281943952</v>
      </c>
      <c r="E746" s="1">
        <v>15.717049624516575</v>
      </c>
      <c r="F746" s="1">
        <v>-8.1179078434119596</v>
      </c>
      <c r="G746" s="1">
        <v>14.581239916140497</v>
      </c>
    </row>
    <row r="747" spans="2:7" x14ac:dyDescent="0.25">
      <c r="B747" s="1">
        <v>741</v>
      </c>
      <c r="C747" s="1">
        <v>3.9992270435139985</v>
      </c>
      <c r="D747" s="1">
        <v>-5.5483139136673367</v>
      </c>
      <c r="E747" s="1">
        <v>11.265429073334868</v>
      </c>
      <c r="F747" s="1">
        <v>0.3121688234368783</v>
      </c>
      <c r="G747" s="1">
        <v>21.50201279801049</v>
      </c>
    </row>
    <row r="748" spans="2:7" x14ac:dyDescent="0.25">
      <c r="B748" s="1">
        <v>742</v>
      </c>
      <c r="C748" s="1">
        <v>4.2908407946582816</v>
      </c>
      <c r="D748" s="1">
        <v>10.308988926156701</v>
      </c>
      <c r="E748" s="1">
        <v>-1.1057884421489543</v>
      </c>
      <c r="F748" s="1">
        <v>8.7755954829871072</v>
      </c>
      <c r="G748" s="1">
        <v>-1.8112455379963161E-2</v>
      </c>
    </row>
    <row r="749" spans="2:7" x14ac:dyDescent="0.25">
      <c r="B749" s="1">
        <v>743</v>
      </c>
      <c r="C749" s="1">
        <v>6.6434438404004368</v>
      </c>
      <c r="D749" s="1">
        <v>11.917619111327754</v>
      </c>
      <c r="E749" s="1">
        <v>6.0714417399351248</v>
      </c>
      <c r="F749" s="1">
        <v>14.677683925143434</v>
      </c>
      <c r="G749" s="1">
        <v>5.9476810351237805</v>
      </c>
    </row>
    <row r="750" spans="2:7" x14ac:dyDescent="0.25">
      <c r="B750" s="1">
        <v>744</v>
      </c>
      <c r="C750" s="1">
        <v>1.3154577182354203</v>
      </c>
      <c r="D750" s="1">
        <v>18.251511211010989</v>
      </c>
      <c r="E750" s="1">
        <v>3.9475587851456604</v>
      </c>
      <c r="F750" s="1">
        <v>0.52052149188503505</v>
      </c>
      <c r="G750" s="1">
        <v>-7.7836410927578203</v>
      </c>
    </row>
    <row r="751" spans="2:7" x14ac:dyDescent="0.25">
      <c r="B751" s="1">
        <v>745</v>
      </c>
      <c r="C751" s="1">
        <v>4.1166143834453095</v>
      </c>
      <c r="D751" s="1">
        <v>6.8449499235006259</v>
      </c>
      <c r="E751" s="1">
        <v>4.375831917128814E-2</v>
      </c>
      <c r="F751" s="1">
        <v>8.4345979318793081</v>
      </c>
      <c r="G751" s="1">
        <v>-0.85321128227025222</v>
      </c>
    </row>
    <row r="752" spans="2:7" x14ac:dyDescent="0.25">
      <c r="B752" s="1">
        <v>746</v>
      </c>
      <c r="C752" s="1">
        <v>10.505885126763745</v>
      </c>
      <c r="D752" s="1">
        <v>6.0019653093731113</v>
      </c>
      <c r="E752" s="1">
        <v>-2.4211994281030194</v>
      </c>
      <c r="F752" s="1">
        <v>-8.0963812715901238</v>
      </c>
      <c r="G752" s="1">
        <v>14.509388302895278</v>
      </c>
    </row>
    <row r="753" spans="2:7" x14ac:dyDescent="0.25">
      <c r="B753" s="1">
        <v>747</v>
      </c>
      <c r="C753" s="1">
        <v>4.9811568108930526</v>
      </c>
      <c r="D753" s="1">
        <v>5.2235357241107279</v>
      </c>
      <c r="E753" s="1">
        <v>-3.299525308561523</v>
      </c>
      <c r="F753" s="1">
        <v>3.1759229936203393</v>
      </c>
      <c r="G753" s="1">
        <v>4.4714009507488619</v>
      </c>
    </row>
    <row r="754" spans="2:7" x14ac:dyDescent="0.25">
      <c r="B754" s="1">
        <v>748</v>
      </c>
      <c r="C754" s="1">
        <v>-0.35235818565406118</v>
      </c>
      <c r="D754" s="1">
        <v>3.572501297044508</v>
      </c>
      <c r="E754" s="1">
        <v>3.5000887795553139</v>
      </c>
      <c r="F754" s="1">
        <v>11.68400315554902</v>
      </c>
      <c r="G754" s="1">
        <v>-4.5352129419499141</v>
      </c>
    </row>
    <row r="755" spans="2:7" x14ac:dyDescent="0.25">
      <c r="B755" s="1">
        <v>749</v>
      </c>
      <c r="C755" s="1">
        <v>5.7974624129117807</v>
      </c>
      <c r="D755" s="1">
        <v>2.7726906974527066</v>
      </c>
      <c r="E755" s="1">
        <v>3.4684259039180247</v>
      </c>
      <c r="F755" s="1">
        <v>3.9256763122552085</v>
      </c>
      <c r="G755" s="1">
        <v>14.729084565974858</v>
      </c>
    </row>
    <row r="756" spans="2:7" x14ac:dyDescent="0.25">
      <c r="B756" s="1">
        <v>750</v>
      </c>
      <c r="C756" s="1">
        <v>2.2474009749557764</v>
      </c>
      <c r="D756" s="1">
        <v>8.7651201296304961</v>
      </c>
      <c r="E756" s="1">
        <v>-0.68762643053185635</v>
      </c>
      <c r="F756" s="1">
        <v>5.5872276990143535</v>
      </c>
      <c r="G756" s="1">
        <v>23.464366785565879</v>
      </c>
    </row>
    <row r="757" spans="2:7" x14ac:dyDescent="0.25">
      <c r="B757" s="1">
        <v>751</v>
      </c>
      <c r="C757" s="1">
        <v>4.5036089527299294</v>
      </c>
      <c r="D757" s="1">
        <v>3.3085165836621893</v>
      </c>
      <c r="E757" s="1">
        <v>10.837388016700039</v>
      </c>
      <c r="F757" s="1">
        <v>1.5630762329930443</v>
      </c>
      <c r="G757" s="1">
        <v>27.019320237239356</v>
      </c>
    </row>
    <row r="758" spans="2:7" x14ac:dyDescent="0.25">
      <c r="B758" s="1">
        <v>752</v>
      </c>
      <c r="C758" s="1">
        <v>4.9682528197128306</v>
      </c>
      <c r="D758" s="1">
        <v>13.191618129357421</v>
      </c>
      <c r="E758" s="1">
        <v>3.8968429366968578</v>
      </c>
      <c r="F758" s="1">
        <v>-11.451653936438857</v>
      </c>
      <c r="G758" s="1">
        <v>9.4201861925120038</v>
      </c>
    </row>
    <row r="759" spans="2:7" x14ac:dyDescent="0.25">
      <c r="B759" s="1">
        <v>753</v>
      </c>
      <c r="C759" s="1">
        <v>-1.6248783696211544</v>
      </c>
      <c r="D759" s="1">
        <v>1.643552155337072</v>
      </c>
      <c r="E759" s="1">
        <v>7.2039670418443915</v>
      </c>
      <c r="F759" s="1">
        <v>-0.6233444752700894</v>
      </c>
      <c r="G759" s="1">
        <v>12.500642692925862</v>
      </c>
    </row>
    <row r="760" spans="2:7" x14ac:dyDescent="0.25">
      <c r="B760" s="1">
        <v>754</v>
      </c>
      <c r="C760" s="1">
        <v>1.0132085189913989</v>
      </c>
      <c r="D760" s="1">
        <v>3.6428792833041239</v>
      </c>
      <c r="E760" s="1">
        <v>1.982572114211097</v>
      </c>
      <c r="F760" s="1">
        <v>13.099174821913708</v>
      </c>
      <c r="G760" s="1">
        <v>26.996172476201924</v>
      </c>
    </row>
    <row r="761" spans="2:7" x14ac:dyDescent="0.25">
      <c r="B761" s="1">
        <v>755</v>
      </c>
      <c r="C761" s="1">
        <v>0.85817429301814641</v>
      </c>
      <c r="D761" s="1">
        <v>4.1217361150080798</v>
      </c>
      <c r="E761" s="1">
        <v>6.0847700314636208</v>
      </c>
      <c r="F761" s="1">
        <v>7.6759586217033604</v>
      </c>
      <c r="G761" s="1">
        <v>4.527301834190725</v>
      </c>
    </row>
    <row r="762" spans="2:7" x14ac:dyDescent="0.25">
      <c r="B762" s="1">
        <v>756</v>
      </c>
      <c r="C762" s="1">
        <v>-3.5539181353768186</v>
      </c>
      <c r="D762" s="1">
        <v>5.4857953192093962</v>
      </c>
      <c r="E762" s="1">
        <v>-6.1936115527246658</v>
      </c>
      <c r="F762" s="1">
        <v>-12.463307395993949</v>
      </c>
      <c r="G762" s="1">
        <v>-2.0963904849568946</v>
      </c>
    </row>
    <row r="763" spans="2:7" x14ac:dyDescent="0.25">
      <c r="B763" s="1">
        <v>757</v>
      </c>
      <c r="C763" s="1">
        <v>2.4807088326941602</v>
      </c>
      <c r="D763" s="1">
        <v>4.3298192174874384</v>
      </c>
      <c r="E763" s="1">
        <v>1.9195818276880856</v>
      </c>
      <c r="F763" s="1">
        <v>-10.349473336103811</v>
      </c>
      <c r="G763" s="1">
        <v>2.788128262324058</v>
      </c>
    </row>
    <row r="764" spans="2:7" x14ac:dyDescent="0.25">
      <c r="B764" s="1">
        <v>758</v>
      </c>
      <c r="C764" s="1">
        <v>4.6009672738527616</v>
      </c>
      <c r="D764" s="1">
        <v>4.1237245210082998</v>
      </c>
      <c r="E764" s="1">
        <v>13.867612581951011</v>
      </c>
      <c r="F764" s="1">
        <v>6.1824973781369392</v>
      </c>
      <c r="G764" s="1">
        <v>-2.8909166573761427</v>
      </c>
    </row>
    <row r="765" spans="2:7" x14ac:dyDescent="0.25">
      <c r="B765" s="1">
        <v>759</v>
      </c>
      <c r="C765" s="1">
        <v>2.2057524899934879</v>
      </c>
      <c r="D765" s="1">
        <v>-4.9768745349910564</v>
      </c>
      <c r="E765" s="1">
        <v>-0.15044744343740743</v>
      </c>
      <c r="F765" s="1">
        <v>15.011687571162451</v>
      </c>
      <c r="G765" s="1">
        <v>27.643921851732951</v>
      </c>
    </row>
    <row r="766" spans="2:7" x14ac:dyDescent="0.25">
      <c r="B766" s="1">
        <v>760</v>
      </c>
      <c r="C766" s="1">
        <v>2.0073168201615665</v>
      </c>
      <c r="D766" s="1">
        <v>6.3129592221605098</v>
      </c>
      <c r="E766" s="1">
        <v>2.2230041734681003</v>
      </c>
      <c r="F766" s="1">
        <v>-3.4362955427593755</v>
      </c>
      <c r="G766" s="1">
        <v>18.222170315635122</v>
      </c>
    </row>
    <row r="767" spans="2:7" x14ac:dyDescent="0.25">
      <c r="B767" s="1">
        <v>761</v>
      </c>
      <c r="C767" s="1">
        <v>4.4765969026208614</v>
      </c>
      <c r="D767" s="1">
        <v>5.460840497811021</v>
      </c>
      <c r="E767" s="1">
        <v>4.3770822053722487</v>
      </c>
      <c r="F767" s="1">
        <v>14.743381519878328</v>
      </c>
      <c r="G767" s="1">
        <v>23.150602847506136</v>
      </c>
    </row>
    <row r="768" spans="2:7" x14ac:dyDescent="0.25">
      <c r="B768" s="1">
        <v>762</v>
      </c>
      <c r="C768" s="1">
        <v>7.5597368225485422</v>
      </c>
      <c r="D768" s="1">
        <v>6.3459649835435616</v>
      </c>
      <c r="E768" s="1">
        <v>6.8657336411086236</v>
      </c>
      <c r="F768" s="1">
        <v>4.5097392550632618</v>
      </c>
      <c r="G768" s="1">
        <v>-0.19414621394001333</v>
      </c>
    </row>
    <row r="769" spans="2:7" x14ac:dyDescent="0.25">
      <c r="B769" s="1">
        <v>763</v>
      </c>
      <c r="C769" s="1">
        <v>2.526000081551492</v>
      </c>
      <c r="D769" s="1">
        <v>4.9947738988478667</v>
      </c>
      <c r="E769" s="1">
        <v>-0.75873618124443043</v>
      </c>
      <c r="F769" s="1">
        <v>15.347355624394487</v>
      </c>
      <c r="G769" s="1">
        <v>-2.9002187658258292</v>
      </c>
    </row>
    <row r="770" spans="2:7" x14ac:dyDescent="0.25">
      <c r="B770" s="1">
        <v>764</v>
      </c>
      <c r="C770" s="1">
        <v>2.9774157670380212</v>
      </c>
      <c r="D770" s="1">
        <v>0.93232531756326231</v>
      </c>
      <c r="E770" s="1">
        <v>2.8426971706916286</v>
      </c>
      <c r="F770" s="1">
        <v>-3.3757380353869699</v>
      </c>
      <c r="G770" s="1">
        <v>3.3369481964521497</v>
      </c>
    </row>
    <row r="771" spans="2:7" x14ac:dyDescent="0.25">
      <c r="B771" s="1">
        <v>765</v>
      </c>
      <c r="C771" s="1">
        <v>6.5950427307311621</v>
      </c>
      <c r="D771" s="1">
        <v>10.955327178782875</v>
      </c>
      <c r="E771" s="1">
        <v>6.9438879293274063</v>
      </c>
      <c r="F771" s="1">
        <v>5.2146131596281364</v>
      </c>
      <c r="G771" s="1">
        <v>2.0636298481052653</v>
      </c>
    </row>
    <row r="772" spans="2:7" x14ac:dyDescent="0.25">
      <c r="B772" s="1">
        <v>766</v>
      </c>
      <c r="C772" s="1">
        <v>4.2851327226752387</v>
      </c>
      <c r="D772" s="1">
        <v>0.3053982416289312</v>
      </c>
      <c r="E772" s="1">
        <v>4.8608105042454079</v>
      </c>
      <c r="F772" s="1">
        <v>-0.96747601445199183</v>
      </c>
      <c r="G772" s="1">
        <v>-1.6969911910777822</v>
      </c>
    </row>
    <row r="773" spans="2:7" x14ac:dyDescent="0.25">
      <c r="B773" s="1">
        <v>767</v>
      </c>
      <c r="C773" s="1">
        <v>3.5483381093075539</v>
      </c>
      <c r="D773" s="1">
        <v>4.063185942496859</v>
      </c>
      <c r="E773" s="1">
        <v>22.403827604406239</v>
      </c>
      <c r="F773" s="1">
        <v>-4.2725473689626741</v>
      </c>
      <c r="G773" s="1">
        <v>-3.2226907951082233</v>
      </c>
    </row>
    <row r="774" spans="2:7" x14ac:dyDescent="0.25">
      <c r="B774" s="1">
        <v>768</v>
      </c>
      <c r="C774" s="1">
        <v>5.7627486370195591</v>
      </c>
      <c r="D774" s="1">
        <v>14.393503318465875</v>
      </c>
      <c r="E774" s="1">
        <v>7.9984290142291155</v>
      </c>
      <c r="F774" s="1">
        <v>6.4752991192929397</v>
      </c>
      <c r="G774" s="1">
        <v>24.206790044140337</v>
      </c>
    </row>
    <row r="775" spans="2:7" x14ac:dyDescent="0.25">
      <c r="B775" s="1">
        <v>769</v>
      </c>
      <c r="C775" s="1">
        <v>1.7385231040415738</v>
      </c>
      <c r="D775" s="1">
        <v>-2.8261839207354047</v>
      </c>
      <c r="E775" s="1">
        <v>10.528641149942299</v>
      </c>
      <c r="F775" s="1">
        <v>3.9033131270394748</v>
      </c>
      <c r="G775" s="1">
        <v>6.4333920577629309</v>
      </c>
    </row>
    <row r="776" spans="2:7" x14ac:dyDescent="0.25">
      <c r="B776" s="1">
        <v>770</v>
      </c>
      <c r="C776" s="1">
        <v>0.53052920051136354</v>
      </c>
      <c r="D776" s="1">
        <v>2.6166323787550372</v>
      </c>
      <c r="E776" s="1">
        <v>1.020467546376957</v>
      </c>
      <c r="F776" s="1">
        <v>-10.995847064893287</v>
      </c>
      <c r="G776" s="1">
        <v>-12.318924288873244</v>
      </c>
    </row>
    <row r="777" spans="2:7" x14ac:dyDescent="0.25">
      <c r="B777" s="1">
        <v>771</v>
      </c>
      <c r="C777" s="1">
        <v>0.95014785314689254</v>
      </c>
      <c r="D777" s="1">
        <v>-0.48334588991459893</v>
      </c>
      <c r="E777" s="1">
        <v>10.349576178679285</v>
      </c>
      <c r="F777" s="1">
        <v>8.7542310465686626</v>
      </c>
      <c r="G777" s="1">
        <v>0.56648091773868103</v>
      </c>
    </row>
    <row r="778" spans="2:7" x14ac:dyDescent="0.25">
      <c r="B778" s="1">
        <v>772</v>
      </c>
      <c r="C778" s="1">
        <v>4.2042263645950486</v>
      </c>
      <c r="D778" s="1">
        <v>5.113539376860766</v>
      </c>
      <c r="E778" s="1">
        <v>2.1466648603066791</v>
      </c>
      <c r="F778" s="1">
        <v>8.2025461946560778</v>
      </c>
      <c r="G778" s="1">
        <v>-4.8399547792839011</v>
      </c>
    </row>
    <row r="779" spans="2:7" x14ac:dyDescent="0.25">
      <c r="B779" s="1">
        <v>773</v>
      </c>
      <c r="C779" s="1">
        <v>8.4926395628652323</v>
      </c>
      <c r="D779" s="1">
        <v>-2.7315676728596285</v>
      </c>
      <c r="E779" s="1">
        <v>8.773793983325417</v>
      </c>
      <c r="F779" s="1">
        <v>-6.13128216396355</v>
      </c>
      <c r="G779" s="1">
        <v>8.8344072724638227</v>
      </c>
    </row>
    <row r="780" spans="2:7" x14ac:dyDescent="0.25">
      <c r="B780" s="1">
        <v>774</v>
      </c>
      <c r="C780" s="1">
        <v>1.4065036614820405</v>
      </c>
      <c r="D780" s="1">
        <v>2.0422372758472642</v>
      </c>
      <c r="E780" s="1">
        <v>9.5849592689933036</v>
      </c>
      <c r="F780" s="1">
        <v>10.229944428311585</v>
      </c>
      <c r="G780" s="1">
        <v>-1.3194835107764711</v>
      </c>
    </row>
    <row r="781" spans="2:7" x14ac:dyDescent="0.25">
      <c r="B781" s="1">
        <v>775</v>
      </c>
      <c r="C781" s="1">
        <v>5.7695518292285444</v>
      </c>
      <c r="D781" s="1">
        <v>1.5629428369046405</v>
      </c>
      <c r="E781" s="1">
        <v>4.6819329466241744</v>
      </c>
      <c r="F781" s="1">
        <v>-3.8498088471664631</v>
      </c>
      <c r="G781" s="1">
        <v>16.558352691694918</v>
      </c>
    </row>
    <row r="782" spans="2:7" x14ac:dyDescent="0.25">
      <c r="B782" s="1">
        <v>776</v>
      </c>
      <c r="C782" s="1">
        <v>2.5365571138621021</v>
      </c>
      <c r="D782" s="1">
        <v>2.872204182532283</v>
      </c>
      <c r="E782" s="1">
        <v>2.1057184182819144</v>
      </c>
      <c r="F782" s="1">
        <v>12.508313715607281</v>
      </c>
      <c r="G782" s="1">
        <v>7.6431747642095234</v>
      </c>
    </row>
    <row r="783" spans="2:7" x14ac:dyDescent="0.25">
      <c r="B783" s="1">
        <v>777</v>
      </c>
      <c r="C783" s="1">
        <v>-0.20097461288917096</v>
      </c>
      <c r="D783" s="1">
        <v>-6.6150265522875946</v>
      </c>
      <c r="E783" s="1">
        <v>-9.5726374788722666</v>
      </c>
      <c r="F783" s="1">
        <v>2.4490707143849693</v>
      </c>
      <c r="G783" s="1">
        <v>3.7765430696512046</v>
      </c>
    </row>
    <row r="784" spans="2:7" x14ac:dyDescent="0.25">
      <c r="B784" s="1">
        <v>778</v>
      </c>
      <c r="C784" s="1">
        <v>4.4222159432520041</v>
      </c>
      <c r="D784" s="1">
        <v>-6.3381029358114453</v>
      </c>
      <c r="E784" s="1">
        <v>5.0912763271852217</v>
      </c>
      <c r="F784" s="1">
        <v>7.0782675355663143</v>
      </c>
      <c r="G784" s="1">
        <v>9.1849131066441974</v>
      </c>
    </row>
    <row r="785" spans="2:7" x14ac:dyDescent="0.25">
      <c r="B785" s="1">
        <v>779</v>
      </c>
      <c r="C785" s="1">
        <v>-1.7501731140286108</v>
      </c>
      <c r="D785" s="1">
        <v>5.470231678816579</v>
      </c>
      <c r="E785" s="1">
        <v>4.9837663108294681</v>
      </c>
      <c r="F785" s="1">
        <v>-3.749729043612811</v>
      </c>
      <c r="G785" s="1">
        <v>3.1469133143933594</v>
      </c>
    </row>
    <row r="786" spans="2:7" x14ac:dyDescent="0.25">
      <c r="B786" s="1">
        <v>780</v>
      </c>
      <c r="C786" s="1">
        <v>3.1364303758758902</v>
      </c>
      <c r="D786" s="1">
        <v>3.5878873740001636</v>
      </c>
      <c r="E786" s="1">
        <v>-3.8018712739932581</v>
      </c>
      <c r="F786" s="1">
        <v>-2.2756765864255888</v>
      </c>
      <c r="G786" s="1">
        <v>20.793299246211479</v>
      </c>
    </row>
    <row r="787" spans="2:7" x14ac:dyDescent="0.25">
      <c r="B787" s="1">
        <v>781</v>
      </c>
      <c r="C787" s="1">
        <v>10.202005275077633</v>
      </c>
      <c r="D787" s="1">
        <v>6.8829761381182273</v>
      </c>
      <c r="E787" s="1">
        <v>8.5402762182044238</v>
      </c>
      <c r="F787" s="1">
        <v>31.280780236269464</v>
      </c>
      <c r="G787" s="1">
        <v>13.458201418498609</v>
      </c>
    </row>
    <row r="788" spans="2:7" x14ac:dyDescent="0.25">
      <c r="B788" s="1">
        <v>782</v>
      </c>
      <c r="C788" s="1">
        <v>2.551911065205088</v>
      </c>
      <c r="D788" s="1">
        <v>5.4787124938277536</v>
      </c>
      <c r="E788" s="1">
        <v>-2.0945269474208867</v>
      </c>
      <c r="F788" s="1">
        <v>9.4948615199952719</v>
      </c>
      <c r="G788" s="1">
        <v>-4.2733982767826477</v>
      </c>
    </row>
    <row r="789" spans="2:7" x14ac:dyDescent="0.25">
      <c r="B789" s="1">
        <v>783</v>
      </c>
      <c r="C789" s="1">
        <v>2.776617721932479</v>
      </c>
      <c r="D789" s="1">
        <v>6.6491319070462138</v>
      </c>
      <c r="E789" s="1">
        <v>-7.3920720354250111</v>
      </c>
      <c r="F789" s="1">
        <v>-16.074807913817438</v>
      </c>
      <c r="G789" s="1">
        <v>-8.120275862697282</v>
      </c>
    </row>
    <row r="790" spans="2:7" x14ac:dyDescent="0.25">
      <c r="B790" s="1">
        <v>784</v>
      </c>
      <c r="C790" s="1">
        <v>3.1770631057252787</v>
      </c>
      <c r="D790" s="1">
        <v>-1.5635460994656893</v>
      </c>
      <c r="E790" s="1">
        <v>11.460545546119226</v>
      </c>
      <c r="F790" s="1">
        <v>-3.2967447713038851</v>
      </c>
      <c r="G790" s="1">
        <v>-1.9602184324831666</v>
      </c>
    </row>
    <row r="791" spans="2:7" x14ac:dyDescent="0.25">
      <c r="B791" s="1">
        <v>785</v>
      </c>
      <c r="C791" s="1">
        <v>2.1268856375057448</v>
      </c>
      <c r="D791" s="1">
        <v>3.0500055976797742</v>
      </c>
      <c r="E791" s="1">
        <v>6.0451730538069794</v>
      </c>
      <c r="F791" s="1">
        <v>10.685680138200221</v>
      </c>
      <c r="G791" s="1">
        <v>-6.4233675290435563</v>
      </c>
    </row>
    <row r="792" spans="2:7" x14ac:dyDescent="0.25">
      <c r="B792" s="1">
        <v>786</v>
      </c>
      <c r="C792" s="1">
        <v>4.4721434763846037</v>
      </c>
      <c r="D792" s="1">
        <v>1.2483758234618376</v>
      </c>
      <c r="E792" s="1">
        <v>2.5387107172101628</v>
      </c>
      <c r="F792" s="1">
        <v>-10.995261481698636</v>
      </c>
      <c r="G792" s="1">
        <v>9.320476621373297</v>
      </c>
    </row>
    <row r="793" spans="2:7" x14ac:dyDescent="0.25">
      <c r="B793" s="1">
        <v>787</v>
      </c>
      <c r="C793" s="1">
        <v>2.9560926032251089</v>
      </c>
      <c r="D793" s="1">
        <v>3.0520092709651716</v>
      </c>
      <c r="E793" s="1">
        <v>-3.3228296630022864</v>
      </c>
      <c r="F793" s="1">
        <v>16.396319635862213</v>
      </c>
      <c r="G793" s="1">
        <v>-5.2231596805644349</v>
      </c>
    </row>
    <row r="794" spans="2:7" x14ac:dyDescent="0.25">
      <c r="B794" s="1">
        <v>788</v>
      </c>
      <c r="C794" s="1">
        <v>5.5678841713683118</v>
      </c>
      <c r="D794" s="1">
        <v>1.3662394253623986</v>
      </c>
      <c r="E794" s="1">
        <v>-1.6053844695942079</v>
      </c>
      <c r="F794" s="1">
        <v>13.666450262249157</v>
      </c>
      <c r="G794" s="1">
        <v>0.91171355727355052</v>
      </c>
    </row>
    <row r="795" spans="2:7" x14ac:dyDescent="0.25">
      <c r="B795" s="1">
        <v>789</v>
      </c>
      <c r="C795" s="1">
        <v>-2.1483241234901644</v>
      </c>
      <c r="D795" s="1">
        <v>4.7310815234103973</v>
      </c>
      <c r="E795" s="1">
        <v>-8.6287415875645586</v>
      </c>
      <c r="F795" s="1">
        <v>8.4994037910003595</v>
      </c>
      <c r="G795" s="1">
        <v>17.910559796827048</v>
      </c>
    </row>
    <row r="796" spans="2:7" x14ac:dyDescent="0.25">
      <c r="B796" s="1">
        <v>790</v>
      </c>
      <c r="C796" s="1">
        <v>5.0326169523614901</v>
      </c>
      <c r="D796" s="1">
        <v>2.2487623063174187</v>
      </c>
      <c r="E796" s="1">
        <v>10.853248347925668</v>
      </c>
      <c r="F796" s="1">
        <v>-3.292439426875156</v>
      </c>
      <c r="G796" s="1">
        <v>-13.319001965673039</v>
      </c>
    </row>
    <row r="797" spans="2:7" x14ac:dyDescent="0.25">
      <c r="B797" s="1">
        <v>791</v>
      </c>
      <c r="C797" s="1">
        <v>-0.58843974183686232</v>
      </c>
      <c r="D797" s="1">
        <v>3.5547890918348073</v>
      </c>
      <c r="E797" s="1">
        <v>-0.85707424760195339</v>
      </c>
      <c r="F797" s="1">
        <v>-22.157741914528799</v>
      </c>
      <c r="G797" s="1">
        <v>18.691322470887112</v>
      </c>
    </row>
    <row r="798" spans="2:7" x14ac:dyDescent="0.25">
      <c r="B798" s="1">
        <v>792</v>
      </c>
      <c r="C798" s="1">
        <v>0.15020409836018134</v>
      </c>
      <c r="D798" s="1">
        <v>-0.68915097659347457</v>
      </c>
      <c r="E798" s="1">
        <v>-0.24334246409563687</v>
      </c>
      <c r="F798" s="1">
        <v>-4.8160873888901703</v>
      </c>
      <c r="G798" s="1">
        <v>8.8200990238078809</v>
      </c>
    </row>
    <row r="799" spans="2:7" x14ac:dyDescent="0.25">
      <c r="B799" s="1">
        <v>793</v>
      </c>
      <c r="C799" s="1">
        <v>6.4162539396439762</v>
      </c>
      <c r="D799" s="1">
        <v>0.73120244205467821</v>
      </c>
      <c r="E799" s="1">
        <v>17.637229895397834</v>
      </c>
      <c r="F799" s="1">
        <v>5.3086910632126658</v>
      </c>
      <c r="G799" s="1">
        <v>18.455356726559483</v>
      </c>
    </row>
    <row r="800" spans="2:7" x14ac:dyDescent="0.25">
      <c r="B800" s="1">
        <v>794</v>
      </c>
      <c r="C800" s="1">
        <v>-1.3172621912258542E-2</v>
      </c>
      <c r="D800" s="1">
        <v>3.6738366058024132</v>
      </c>
      <c r="E800" s="1">
        <v>3.2068914870844591</v>
      </c>
      <c r="F800" s="1">
        <v>1.5088726216581216</v>
      </c>
      <c r="G800" s="1">
        <v>-9.3766735992578401</v>
      </c>
    </row>
    <row r="801" spans="2:7" x14ac:dyDescent="0.25">
      <c r="B801" s="1">
        <v>795</v>
      </c>
      <c r="C801" s="1">
        <v>2.8993070219446677</v>
      </c>
      <c r="D801" s="1">
        <v>5.1165801497565919</v>
      </c>
      <c r="E801" s="1">
        <v>6.250956986207334</v>
      </c>
      <c r="F801" s="1">
        <v>2.3346168386812765</v>
      </c>
      <c r="G801" s="1">
        <v>8.2719215557739414</v>
      </c>
    </row>
    <row r="802" spans="2:7" x14ac:dyDescent="0.25">
      <c r="B802" s="1">
        <v>796</v>
      </c>
      <c r="C802" s="1">
        <v>1.8455348532246774</v>
      </c>
      <c r="D802" s="1">
        <v>0.21738752687646479</v>
      </c>
      <c r="E802" s="1">
        <v>2.7249282615453012</v>
      </c>
      <c r="F802" s="1">
        <v>-1.2910473130980484</v>
      </c>
      <c r="G802" s="1">
        <v>14.043111368804224</v>
      </c>
    </row>
    <row r="803" spans="2:7" x14ac:dyDescent="0.25">
      <c r="B803" s="1">
        <v>797</v>
      </c>
      <c r="C803" s="1">
        <v>4.859016408528352</v>
      </c>
      <c r="D803" s="1">
        <v>9.141887381474822</v>
      </c>
      <c r="E803" s="1">
        <v>1.6756707119169165</v>
      </c>
      <c r="F803" s="1">
        <v>-8.6949692481362799</v>
      </c>
      <c r="G803" s="1">
        <v>-5.5289622763197679</v>
      </c>
    </row>
    <row r="804" spans="2:7" x14ac:dyDescent="0.25">
      <c r="B804" s="1">
        <v>798</v>
      </c>
      <c r="C804" s="1">
        <v>0.93885091914743057</v>
      </c>
      <c r="D804" s="1">
        <v>0.68087869194843065</v>
      </c>
      <c r="E804" s="1">
        <v>-11.173048652620849</v>
      </c>
      <c r="F804" s="1">
        <v>7.6890282356739101</v>
      </c>
      <c r="G804" s="1">
        <v>13.092948844933938</v>
      </c>
    </row>
    <row r="805" spans="2:7" x14ac:dyDescent="0.25">
      <c r="B805" s="1">
        <v>799</v>
      </c>
      <c r="C805" s="1">
        <v>7.1537132484253014</v>
      </c>
      <c r="D805" s="1">
        <v>1.2516458863767719</v>
      </c>
      <c r="E805" s="1">
        <v>-2.7203577606022629</v>
      </c>
      <c r="F805" s="1">
        <v>15.885095931173495</v>
      </c>
      <c r="G805" s="1">
        <v>24.423152811186664</v>
      </c>
    </row>
    <row r="806" spans="2:7" x14ac:dyDescent="0.25">
      <c r="B806" s="1">
        <v>800</v>
      </c>
      <c r="C806" s="1">
        <v>2.3956173946949137</v>
      </c>
      <c r="D806" s="1">
        <v>-2.2361897176990149</v>
      </c>
      <c r="E806" s="1">
        <v>6.3217675029762672</v>
      </c>
      <c r="F806" s="1">
        <v>6.9307063433247809</v>
      </c>
      <c r="G806" s="1">
        <v>3.8579502508071051</v>
      </c>
    </row>
    <row r="807" spans="2:7" x14ac:dyDescent="0.25">
      <c r="B807" s="1">
        <v>801</v>
      </c>
      <c r="C807" s="1">
        <v>3.8925237082846671</v>
      </c>
      <c r="D807" s="1">
        <v>2.9936571306627804</v>
      </c>
      <c r="E807" s="1">
        <v>1.4912874831926093</v>
      </c>
      <c r="F807" s="1">
        <v>10.735595595639881</v>
      </c>
      <c r="G807" s="1">
        <v>17.940271881927078</v>
      </c>
    </row>
    <row r="808" spans="2:7" x14ac:dyDescent="0.25">
      <c r="B808" s="1">
        <v>802</v>
      </c>
      <c r="C808" s="1">
        <v>2.1733712950972333</v>
      </c>
      <c r="D808" s="1">
        <v>-0.80332590361677336</v>
      </c>
      <c r="E808" s="1">
        <v>-6.2738697561657897E-2</v>
      </c>
      <c r="F808" s="1">
        <v>5.2399789247564419</v>
      </c>
      <c r="G808" s="1">
        <v>-3.5476718256726376</v>
      </c>
    </row>
    <row r="809" spans="2:7" x14ac:dyDescent="0.25">
      <c r="B809" s="1">
        <v>803</v>
      </c>
      <c r="C809" s="1">
        <v>2.8573385918775589</v>
      </c>
      <c r="D809" s="1">
        <v>8.5584653629112424</v>
      </c>
      <c r="E809" s="1">
        <v>0.10382250718668835</v>
      </c>
      <c r="F809" s="1">
        <v>2.0609701571144701</v>
      </c>
      <c r="G809" s="1">
        <v>3.8204146254780275E-2</v>
      </c>
    </row>
    <row r="810" spans="2:7" x14ac:dyDescent="0.25">
      <c r="B810" s="1">
        <v>804</v>
      </c>
      <c r="C810" s="1">
        <v>0.17868073017022801</v>
      </c>
      <c r="D810" s="1">
        <v>11.699718487896929</v>
      </c>
      <c r="E810" s="1">
        <v>2.2534909583562057</v>
      </c>
      <c r="F810" s="1">
        <v>5.8029798334118965</v>
      </c>
      <c r="G810" s="1">
        <v>12.355738872674509</v>
      </c>
    </row>
    <row r="811" spans="2:7" x14ac:dyDescent="0.25">
      <c r="B811" s="1">
        <v>805</v>
      </c>
      <c r="C811" s="1">
        <v>2.0298985206734113</v>
      </c>
      <c r="D811" s="1">
        <v>1.6909671560331636</v>
      </c>
      <c r="E811" s="1">
        <v>12.265837069004107</v>
      </c>
      <c r="F811" s="1">
        <v>-3.8128378649973165</v>
      </c>
      <c r="G811" s="1">
        <v>5.4477617407206393</v>
      </c>
    </row>
    <row r="812" spans="2:7" x14ac:dyDescent="0.25">
      <c r="B812" s="1">
        <v>806</v>
      </c>
      <c r="C812" s="1">
        <v>2.8915674651393801</v>
      </c>
      <c r="D812" s="1">
        <v>-1.5007777208795525</v>
      </c>
      <c r="E812" s="1">
        <v>7.6818544745803523</v>
      </c>
      <c r="F812" s="1">
        <v>7.7409729761072388</v>
      </c>
      <c r="G812" s="1">
        <v>8.8966944621241701</v>
      </c>
    </row>
    <row r="813" spans="2:7" x14ac:dyDescent="0.25">
      <c r="B813" s="1">
        <v>807</v>
      </c>
      <c r="C813" s="1">
        <v>0.54754747268801918</v>
      </c>
      <c r="D813" s="1">
        <v>3.4380578182986001</v>
      </c>
      <c r="E813" s="1">
        <v>7.4018892008528541</v>
      </c>
      <c r="F813" s="1">
        <v>4.2959207048719028</v>
      </c>
      <c r="G813" s="1">
        <v>2.8023879434376027</v>
      </c>
    </row>
    <row r="814" spans="2:7" x14ac:dyDescent="0.25">
      <c r="B814" s="1">
        <v>808</v>
      </c>
      <c r="C814" s="1">
        <v>-0.98939852259774952</v>
      </c>
      <c r="D814" s="1">
        <v>-3.2913088264100252</v>
      </c>
      <c r="E814" s="1">
        <v>1.2369620565375219</v>
      </c>
      <c r="F814" s="1">
        <v>16.658967018947155</v>
      </c>
      <c r="G814" s="1">
        <v>17.210159323278361</v>
      </c>
    </row>
    <row r="815" spans="2:7" x14ac:dyDescent="0.25">
      <c r="B815" s="1">
        <v>809</v>
      </c>
      <c r="C815" s="1">
        <v>2.3998798545831899</v>
      </c>
      <c r="D815" s="1">
        <v>10.52918935808724</v>
      </c>
      <c r="E815" s="1">
        <v>6.382430290124165</v>
      </c>
      <c r="F815" s="1">
        <v>4.3611656701723804</v>
      </c>
      <c r="G815" s="1">
        <v>-5.5649547827618608</v>
      </c>
    </row>
    <row r="816" spans="2:7" x14ac:dyDescent="0.25">
      <c r="B816" s="1">
        <v>810</v>
      </c>
      <c r="C816" s="1">
        <v>-0.54639234175396334</v>
      </c>
      <c r="D816" s="1">
        <v>3.1407091254540602</v>
      </c>
      <c r="E816" s="1">
        <v>4.5657038064785738</v>
      </c>
      <c r="F816" s="1">
        <v>-2.6086790974717018</v>
      </c>
      <c r="G816" s="1">
        <v>-1.2008123315939554</v>
      </c>
    </row>
    <row r="817" spans="2:7" x14ac:dyDescent="0.25">
      <c r="B817" s="1">
        <v>811</v>
      </c>
      <c r="C817" s="1">
        <v>0.76486040830867408</v>
      </c>
      <c r="D817" s="1">
        <v>0.24510669799189583</v>
      </c>
      <c r="E817" s="1">
        <v>-0.27211993048524385</v>
      </c>
      <c r="F817" s="1">
        <v>10.736047921389053</v>
      </c>
      <c r="G817" s="1">
        <v>-9.6383997286301142</v>
      </c>
    </row>
    <row r="818" spans="2:7" x14ac:dyDescent="0.25">
      <c r="B818" s="1">
        <v>812</v>
      </c>
      <c r="C818" s="1">
        <v>7.0748471425930433</v>
      </c>
      <c r="D818" s="1">
        <v>9.5526596451643364</v>
      </c>
      <c r="E818" s="1">
        <v>2.1932513572751815</v>
      </c>
      <c r="F818" s="1">
        <v>7.5151814799530037</v>
      </c>
      <c r="G818" s="1">
        <v>9.0083293882778577</v>
      </c>
    </row>
    <row r="819" spans="2:7" x14ac:dyDescent="0.25">
      <c r="B819" s="1">
        <v>813</v>
      </c>
      <c r="C819" s="1">
        <v>-1.266035791995106</v>
      </c>
      <c r="D819" s="1">
        <v>0.71549507156649639</v>
      </c>
      <c r="E819" s="1">
        <v>14.087476239650927</v>
      </c>
      <c r="F819" s="1">
        <v>5.0537316302080386</v>
      </c>
      <c r="G819" s="1">
        <v>0.78285473447086207</v>
      </c>
    </row>
    <row r="820" spans="2:7" x14ac:dyDescent="0.25">
      <c r="B820" s="1">
        <v>814</v>
      </c>
      <c r="C820" s="1">
        <v>-0.79091086503162433</v>
      </c>
      <c r="D820" s="1">
        <v>1.4820429463605158</v>
      </c>
      <c r="E820" s="1">
        <v>9.8155287419852701</v>
      </c>
      <c r="F820" s="1">
        <v>9.1309134657392903</v>
      </c>
      <c r="G820" s="1">
        <v>-6.7072681199125546</v>
      </c>
    </row>
    <row r="821" spans="2:7" x14ac:dyDescent="0.25">
      <c r="B821" s="1">
        <v>815</v>
      </c>
      <c r="C821" s="1">
        <v>2.6980920697573021</v>
      </c>
      <c r="D821" s="1">
        <v>9.542914113725697</v>
      </c>
      <c r="E821" s="1">
        <v>14.160470622448813</v>
      </c>
      <c r="F821" s="1">
        <v>-9.6810883051492844</v>
      </c>
      <c r="G821" s="1">
        <v>5.1030748436291349</v>
      </c>
    </row>
    <row r="822" spans="2:7" x14ac:dyDescent="0.25">
      <c r="B822" s="1">
        <v>816</v>
      </c>
      <c r="C822" s="1">
        <v>4.1504864384638775</v>
      </c>
      <c r="D822" s="1">
        <v>2.4588941000328224</v>
      </c>
      <c r="E822" s="1">
        <v>6.3612631234923187</v>
      </c>
      <c r="F822" s="1">
        <v>16.45520172239052</v>
      </c>
      <c r="G822" s="1">
        <v>17.817634022190052</v>
      </c>
    </row>
    <row r="823" spans="2:7" x14ac:dyDescent="0.25">
      <c r="B823" s="1">
        <v>817</v>
      </c>
      <c r="C823" s="1">
        <v>4.9107667094008995</v>
      </c>
      <c r="D823" s="1">
        <v>5.1611163464438841</v>
      </c>
      <c r="E823" s="1">
        <v>0.40195139401624391</v>
      </c>
      <c r="F823" s="1">
        <v>8.637351093931807</v>
      </c>
      <c r="G823" s="1">
        <v>10.910284419794985</v>
      </c>
    </row>
    <row r="824" spans="2:7" x14ac:dyDescent="0.25">
      <c r="B824" s="1">
        <v>818</v>
      </c>
      <c r="C824" s="1">
        <v>1.1739070765125406</v>
      </c>
      <c r="D824" s="1">
        <v>11.416508269262565</v>
      </c>
      <c r="E824" s="1">
        <v>-4.7025165342983035</v>
      </c>
      <c r="F824" s="1">
        <v>8.4370337467478862</v>
      </c>
      <c r="G824" s="1">
        <v>-16.857011634173016</v>
      </c>
    </row>
    <row r="825" spans="2:7" x14ac:dyDescent="0.25">
      <c r="B825" s="1">
        <v>819</v>
      </c>
      <c r="C825" s="1">
        <v>9.5315995694517195</v>
      </c>
      <c r="D825" s="1">
        <v>6.669268878925819</v>
      </c>
      <c r="E825" s="1">
        <v>0.98242952482491386</v>
      </c>
      <c r="F825" s="1">
        <v>25.861843714563935</v>
      </c>
      <c r="G825" s="1">
        <v>6.9798885455977761E-2</v>
      </c>
    </row>
    <row r="826" spans="2:7" x14ac:dyDescent="0.25">
      <c r="B826" s="1">
        <v>820</v>
      </c>
      <c r="C826" s="1">
        <v>4.593324118795298</v>
      </c>
      <c r="D826" s="1">
        <v>-1.5789598874775548</v>
      </c>
      <c r="E826" s="1">
        <v>6.0976035042482115</v>
      </c>
      <c r="F826" s="1">
        <v>13.128939279887032</v>
      </c>
      <c r="G826" s="1">
        <v>-8.527209081662086</v>
      </c>
    </row>
    <row r="827" spans="2:7" x14ac:dyDescent="0.25">
      <c r="B827" s="1">
        <v>821</v>
      </c>
      <c r="C827" s="1">
        <v>-1.4710435924132521</v>
      </c>
      <c r="D827" s="1">
        <v>2.8023335609399558</v>
      </c>
      <c r="E827" s="1">
        <v>3.4502319073092118</v>
      </c>
      <c r="F827" s="1">
        <v>4.4361916146866838</v>
      </c>
      <c r="G827" s="1">
        <v>10.687602090341002</v>
      </c>
    </row>
    <row r="828" spans="2:7" x14ac:dyDescent="0.25">
      <c r="B828" s="1">
        <v>822</v>
      </c>
      <c r="C828" s="1">
        <v>-1.6921933069160664</v>
      </c>
      <c r="D828" s="1">
        <v>-2.8473088639367274</v>
      </c>
      <c r="E828" s="1">
        <v>3.5802747915042459</v>
      </c>
      <c r="F828" s="1">
        <v>8.0708903539238079</v>
      </c>
      <c r="G828" s="1">
        <v>17.418825206723401</v>
      </c>
    </row>
    <row r="829" spans="2:7" x14ac:dyDescent="0.25">
      <c r="B829" s="1">
        <v>823</v>
      </c>
      <c r="C829" s="1">
        <v>4.4771588466934791</v>
      </c>
      <c r="D829" s="1">
        <v>8.8480582985976284</v>
      </c>
      <c r="E829" s="1">
        <v>10.746927599914251</v>
      </c>
      <c r="F829" s="1">
        <v>9.2629573348148391</v>
      </c>
      <c r="G829" s="1">
        <v>25.020004779453018</v>
      </c>
    </row>
    <row r="830" spans="2:7" x14ac:dyDescent="0.25">
      <c r="B830" s="1">
        <v>824</v>
      </c>
      <c r="C830" s="1">
        <v>-0.4029312594784491</v>
      </c>
      <c r="D830" s="1">
        <v>6.9823279741349831</v>
      </c>
      <c r="E830" s="1">
        <v>-4.7646450062499044</v>
      </c>
      <c r="F830" s="1">
        <v>3.5734545354038385</v>
      </c>
      <c r="G830" s="1">
        <v>-8.8205851442622585</v>
      </c>
    </row>
    <row r="831" spans="2:7" x14ac:dyDescent="0.25">
      <c r="B831" s="1">
        <v>825</v>
      </c>
      <c r="C831" s="1">
        <v>4.4406273608458662</v>
      </c>
      <c r="D831" s="1">
        <v>-0.95067376178106322</v>
      </c>
      <c r="E831" s="1">
        <v>5.2989930124591016</v>
      </c>
      <c r="F831" s="1">
        <v>11.193890441288028</v>
      </c>
      <c r="G831" s="1">
        <v>0.70505499231212143</v>
      </c>
    </row>
    <row r="832" spans="2:7" x14ac:dyDescent="0.25">
      <c r="B832" s="1">
        <v>826</v>
      </c>
      <c r="C832" s="1">
        <v>1.7857799961205871</v>
      </c>
      <c r="D832" s="1">
        <v>4.3103548085986088</v>
      </c>
      <c r="E832" s="1">
        <v>0.70511374987287501</v>
      </c>
      <c r="F832" s="1">
        <v>12.362501432786965</v>
      </c>
      <c r="G832" s="1">
        <v>19.44248762581039</v>
      </c>
    </row>
    <row r="833" spans="2:7" x14ac:dyDescent="0.25">
      <c r="B833" s="1">
        <v>827</v>
      </c>
      <c r="C833" s="1">
        <v>-6.8687779786503231</v>
      </c>
      <c r="D833" s="1">
        <v>-7.100850673823162</v>
      </c>
      <c r="E833" s="1">
        <v>-0.29315648761947999</v>
      </c>
      <c r="F833" s="1">
        <v>13.688737701097548</v>
      </c>
      <c r="G833" s="1">
        <v>-18.958406747578408</v>
      </c>
    </row>
    <row r="834" spans="2:7" x14ac:dyDescent="0.25">
      <c r="B834" s="1">
        <v>828</v>
      </c>
      <c r="C834" s="1">
        <v>-1.2282604962212145</v>
      </c>
      <c r="D834" s="1">
        <v>7.028251163057563</v>
      </c>
      <c r="E834" s="1">
        <v>8.3841850804273204</v>
      </c>
      <c r="F834" s="1">
        <v>-0.26032725891035136</v>
      </c>
      <c r="G834" s="1">
        <v>7.4847489803283054</v>
      </c>
    </row>
    <row r="835" spans="2:7" x14ac:dyDescent="0.25">
      <c r="B835" s="1">
        <v>829</v>
      </c>
      <c r="C835" s="1">
        <v>2.0388777088917855</v>
      </c>
      <c r="D835" s="1">
        <v>0.83351677933481638</v>
      </c>
      <c r="E835" s="1">
        <v>10.516417004302694</v>
      </c>
      <c r="F835" s="1">
        <v>5.0140521381062522</v>
      </c>
      <c r="G835" s="1">
        <v>7.4107427596484312</v>
      </c>
    </row>
    <row r="836" spans="2:7" x14ac:dyDescent="0.25">
      <c r="B836" s="1">
        <v>830</v>
      </c>
      <c r="C836" s="1">
        <v>1.3481280138529943</v>
      </c>
      <c r="D836" s="1">
        <v>-2.844693298332885</v>
      </c>
      <c r="E836" s="1">
        <v>11.095807580101781</v>
      </c>
      <c r="F836" s="1">
        <v>14.28494353714736</v>
      </c>
      <c r="G836" s="1">
        <v>23.745904481573977</v>
      </c>
    </row>
    <row r="837" spans="2:7" x14ac:dyDescent="0.25">
      <c r="B837" s="1">
        <v>831</v>
      </c>
      <c r="C837" s="1">
        <v>3.3583972639360185</v>
      </c>
      <c r="D837" s="1">
        <v>1.8856214569045939</v>
      </c>
      <c r="E837" s="1">
        <v>-8.1903208878081788</v>
      </c>
      <c r="F837" s="1">
        <v>4.64286709272778</v>
      </c>
      <c r="G837" s="1">
        <v>-4.4400144924640026</v>
      </c>
    </row>
    <row r="838" spans="2:7" x14ac:dyDescent="0.25">
      <c r="B838" s="1">
        <v>832</v>
      </c>
      <c r="C838" s="1">
        <v>4.3735703822062391</v>
      </c>
      <c r="D838" s="1">
        <v>3.1495887082756351</v>
      </c>
      <c r="E838" s="1">
        <v>-2.8891823449894094</v>
      </c>
      <c r="F838" s="1">
        <v>6.3989764359878798</v>
      </c>
      <c r="G838" s="1">
        <v>3.3713763750890768</v>
      </c>
    </row>
    <row r="839" spans="2:7" x14ac:dyDescent="0.25">
      <c r="B839" s="1">
        <v>833</v>
      </c>
      <c r="C839" s="1">
        <v>4.264566079720324</v>
      </c>
      <c r="D839" s="1">
        <v>-1.165405636461043</v>
      </c>
      <c r="E839" s="1">
        <v>3.9872867783146413</v>
      </c>
      <c r="F839" s="1">
        <v>-1.1934212710787973</v>
      </c>
      <c r="G839" s="1">
        <v>-1.9880420429379917</v>
      </c>
    </row>
    <row r="840" spans="2:7" x14ac:dyDescent="0.25">
      <c r="B840" s="1">
        <v>834</v>
      </c>
      <c r="C840" s="1">
        <v>5.7008020752366413</v>
      </c>
      <c r="D840" s="1">
        <v>3.176854838041026</v>
      </c>
      <c r="E840" s="1">
        <v>13.194098800349673</v>
      </c>
      <c r="F840" s="1">
        <v>-0.40446328636897955</v>
      </c>
      <c r="G840" s="1">
        <v>8.8533553252234416</v>
      </c>
    </row>
    <row r="841" spans="2:7" x14ac:dyDescent="0.25">
      <c r="B841" s="1">
        <v>835</v>
      </c>
      <c r="C841" s="1">
        <v>4.1087908170692469</v>
      </c>
      <c r="D841" s="1">
        <v>12.914679659926385</v>
      </c>
      <c r="E841" s="1">
        <v>10.735753813612876</v>
      </c>
      <c r="F841" s="1">
        <v>5.5891892888719612</v>
      </c>
      <c r="G841" s="1">
        <v>3.4755723969948336</v>
      </c>
    </row>
    <row r="842" spans="2:7" x14ac:dyDescent="0.25">
      <c r="B842" s="1">
        <v>836</v>
      </c>
      <c r="C842" s="1">
        <v>4.9993291232590398</v>
      </c>
      <c r="D842" s="1">
        <v>1.781171559236099</v>
      </c>
      <c r="E842" s="1">
        <v>10.983325829935596</v>
      </c>
      <c r="F842" s="1">
        <v>6.8912722274004468</v>
      </c>
      <c r="G842" s="1">
        <v>10.841382718448489</v>
      </c>
    </row>
    <row r="843" spans="2:7" x14ac:dyDescent="0.25">
      <c r="B843" s="1">
        <v>837</v>
      </c>
      <c r="C843" s="1">
        <v>8.6610925416149058</v>
      </c>
      <c r="D843" s="1">
        <v>10.088750716745839</v>
      </c>
      <c r="E843" s="1">
        <v>11.24004948097795</v>
      </c>
      <c r="F843" s="1">
        <v>6.0512048548859774</v>
      </c>
      <c r="G843" s="1">
        <v>17.901741383642733</v>
      </c>
    </row>
    <row r="844" spans="2:7" x14ac:dyDescent="0.25">
      <c r="B844" s="1">
        <v>838</v>
      </c>
      <c r="C844" s="1">
        <v>-0.9052632391419384</v>
      </c>
      <c r="D844" s="1">
        <v>1.9914057722123417</v>
      </c>
      <c r="E844" s="1">
        <v>3.5096371299633513</v>
      </c>
      <c r="F844" s="1">
        <v>14.564633871527654</v>
      </c>
      <c r="G844" s="1">
        <v>3.2957944546383064</v>
      </c>
    </row>
    <row r="845" spans="2:7" x14ac:dyDescent="0.25">
      <c r="B845" s="1">
        <v>839</v>
      </c>
      <c r="C845" s="1">
        <v>4.5039982270207863</v>
      </c>
      <c r="D845" s="1">
        <v>-2.3543752083352452</v>
      </c>
      <c r="E845" s="1">
        <v>-3.8432093993491492</v>
      </c>
      <c r="F845" s="1">
        <v>-8.3288792024190936</v>
      </c>
      <c r="G845" s="1">
        <v>18.64685418952606</v>
      </c>
    </row>
    <row r="846" spans="2:7" x14ac:dyDescent="0.25">
      <c r="B846" s="1">
        <v>840</v>
      </c>
      <c r="C846" s="1">
        <v>1.990788358704882</v>
      </c>
      <c r="D846" s="1">
        <v>3.1075479705258982</v>
      </c>
      <c r="E846" s="1">
        <v>-9.659369027853371</v>
      </c>
      <c r="F846" s="1">
        <v>12.606515820753263</v>
      </c>
      <c r="G846" s="1">
        <v>-3.1827197200948345</v>
      </c>
    </row>
    <row r="847" spans="2:7" x14ac:dyDescent="0.25">
      <c r="B847" s="1">
        <v>841</v>
      </c>
      <c r="C847" s="1">
        <v>4.9166388799638732</v>
      </c>
      <c r="D847" s="1">
        <v>4.865808640659437</v>
      </c>
      <c r="E847" s="1">
        <v>4.7446207692095985</v>
      </c>
      <c r="F847" s="1">
        <v>16.747952575374903</v>
      </c>
      <c r="G847" s="1">
        <v>29.544429142457915</v>
      </c>
    </row>
    <row r="848" spans="2:7" x14ac:dyDescent="0.25">
      <c r="B848" s="1">
        <v>842</v>
      </c>
      <c r="C848" s="1">
        <v>4.817964590709308</v>
      </c>
      <c r="D848" s="1">
        <v>2.6657068625920703</v>
      </c>
      <c r="E848" s="1">
        <v>-2.6108940051631873</v>
      </c>
      <c r="F848" s="1">
        <v>18.579843291878671</v>
      </c>
      <c r="G848" s="1">
        <v>-9.9802261117588706</v>
      </c>
    </row>
    <row r="849" spans="2:7" x14ac:dyDescent="0.25">
      <c r="B849" s="1">
        <v>843</v>
      </c>
      <c r="C849" s="1">
        <v>4.9224329128201907</v>
      </c>
      <c r="D849" s="1">
        <v>5.1664239845521829</v>
      </c>
      <c r="E849" s="1">
        <v>6.6988244041710301</v>
      </c>
      <c r="F849" s="1">
        <v>3.0197852562238343</v>
      </c>
      <c r="G849" s="1">
        <v>17.236748451064255</v>
      </c>
    </row>
    <row r="850" spans="2:7" x14ac:dyDescent="0.25">
      <c r="B850" s="1">
        <v>844</v>
      </c>
      <c r="C850" s="1">
        <v>8.355584744689196</v>
      </c>
      <c r="D850" s="1">
        <v>10.133829174531105</v>
      </c>
      <c r="E850" s="1">
        <v>8.4659432857216075</v>
      </c>
      <c r="F850" s="1">
        <v>4.7324330260282466</v>
      </c>
      <c r="G850" s="1">
        <v>10.207594082217872</v>
      </c>
    </row>
    <row r="851" spans="2:7" x14ac:dyDescent="0.25">
      <c r="B851" s="1">
        <v>845</v>
      </c>
      <c r="C851" s="1">
        <v>-0.88319532679338852</v>
      </c>
      <c r="D851" s="1">
        <v>1.3126087532649218</v>
      </c>
      <c r="E851" s="1">
        <v>5.7938189254186812</v>
      </c>
      <c r="F851" s="1">
        <v>6.1027044781192972</v>
      </c>
      <c r="G851" s="1">
        <v>2.1584636130822386</v>
      </c>
    </row>
    <row r="852" spans="2:7" x14ac:dyDescent="0.25">
      <c r="B852" s="1">
        <v>846</v>
      </c>
      <c r="C852" s="1">
        <v>3.5916138552033505</v>
      </c>
      <c r="D852" s="1">
        <v>1.4679168743779756</v>
      </c>
      <c r="E852" s="1">
        <v>10.561102163565812</v>
      </c>
      <c r="F852" s="1">
        <v>3.3422735411568563</v>
      </c>
      <c r="G852" s="1">
        <v>23.387343785090636</v>
      </c>
    </row>
    <row r="853" spans="2:7" x14ac:dyDescent="0.25">
      <c r="B853" s="1">
        <v>847</v>
      </c>
      <c r="C853" s="1">
        <v>1.5790243782133517</v>
      </c>
      <c r="D853" s="1">
        <v>4.3173202626969394</v>
      </c>
      <c r="E853" s="1">
        <v>10.359289002700153</v>
      </c>
      <c r="F853" s="1">
        <v>-2.7341176877567617</v>
      </c>
      <c r="G853" s="1">
        <v>5.7990183697647044</v>
      </c>
    </row>
    <row r="854" spans="2:7" x14ac:dyDescent="0.25">
      <c r="B854" s="1">
        <v>848</v>
      </c>
      <c r="C854" s="1">
        <v>4.7589370161491367</v>
      </c>
      <c r="D854" s="1">
        <v>-2.599934139496463</v>
      </c>
      <c r="E854" s="1">
        <v>15.564559598684076</v>
      </c>
      <c r="F854" s="1">
        <v>4.6448222613958743</v>
      </c>
      <c r="G854" s="1">
        <v>15.50702924685954</v>
      </c>
    </row>
    <row r="855" spans="2:7" x14ac:dyDescent="0.25">
      <c r="B855" s="1">
        <v>849</v>
      </c>
      <c r="C855" s="1">
        <v>3.3648416394478082</v>
      </c>
      <c r="D855" s="1">
        <v>1.594780348042546</v>
      </c>
      <c r="E855" s="1">
        <v>-5.3548983013627138</v>
      </c>
      <c r="F855" s="1">
        <v>5.9223595660242019</v>
      </c>
      <c r="G855" s="1">
        <v>4.6265506769517497</v>
      </c>
    </row>
    <row r="856" spans="2:7" x14ac:dyDescent="0.25">
      <c r="B856" s="1">
        <v>850</v>
      </c>
      <c r="C856" s="1">
        <v>-2.0468923940128296</v>
      </c>
      <c r="D856" s="1">
        <v>2.440252667314962</v>
      </c>
      <c r="E856" s="1">
        <v>4.5865654054854654E-2</v>
      </c>
      <c r="F856" s="1">
        <v>-8.5386814814810919</v>
      </c>
      <c r="G856" s="1">
        <v>-3.6643091911002852E-2</v>
      </c>
    </row>
    <row r="857" spans="2:7" x14ac:dyDescent="0.25">
      <c r="B857" s="1">
        <v>851</v>
      </c>
      <c r="C857" s="1">
        <v>8.5556018286095821</v>
      </c>
      <c r="D857" s="1">
        <v>2.9731449020634102</v>
      </c>
      <c r="E857" s="1">
        <v>0.99287972608619746</v>
      </c>
      <c r="F857" s="1">
        <v>-17.501511406297286</v>
      </c>
      <c r="G857" s="1">
        <v>37.87467322817669</v>
      </c>
    </row>
    <row r="858" spans="2:7" x14ac:dyDescent="0.25">
      <c r="B858" s="1">
        <v>852</v>
      </c>
      <c r="C858" s="1">
        <v>6.2481602703573387</v>
      </c>
      <c r="D858" s="1">
        <v>-6.6544920375719185E-2</v>
      </c>
      <c r="E858" s="1">
        <v>15.074151690840944</v>
      </c>
      <c r="F858" s="1">
        <v>-0.57154769673315009</v>
      </c>
      <c r="G858" s="1">
        <v>4.991395524072586</v>
      </c>
    </row>
    <row r="859" spans="2:7" x14ac:dyDescent="0.25">
      <c r="B859" s="1">
        <v>853</v>
      </c>
      <c r="C859" s="1">
        <v>4.1971914784905042</v>
      </c>
      <c r="D859" s="1">
        <v>5.2342644666249534</v>
      </c>
      <c r="E859" s="1">
        <v>-6.5660795209621181</v>
      </c>
      <c r="F859" s="1">
        <v>11.663188739612959</v>
      </c>
      <c r="G859" s="1">
        <v>13.646727529456685</v>
      </c>
    </row>
    <row r="860" spans="2:7" x14ac:dyDescent="0.25">
      <c r="B860" s="1">
        <v>854</v>
      </c>
      <c r="C860" s="1">
        <v>-0.94295838620204497</v>
      </c>
      <c r="D860" s="1">
        <v>1.1324392450344143</v>
      </c>
      <c r="E860" s="1">
        <v>5.6860653722987937</v>
      </c>
      <c r="F860" s="1">
        <v>17.954830268744683</v>
      </c>
      <c r="G860" s="1">
        <v>21.958755962637969</v>
      </c>
    </row>
    <row r="861" spans="2:7" x14ac:dyDescent="0.25">
      <c r="B861" s="1">
        <v>855</v>
      </c>
      <c r="C861" s="1">
        <v>-0.60865090382457776</v>
      </c>
      <c r="D861" s="1">
        <v>-2.548750120236611</v>
      </c>
      <c r="E861" s="1">
        <v>1.2932545159270707</v>
      </c>
      <c r="F861" s="1">
        <v>-4.2734796899324268</v>
      </c>
      <c r="G861" s="1">
        <v>-8.0352608632971929</v>
      </c>
    </row>
    <row r="862" spans="2:7" x14ac:dyDescent="0.25">
      <c r="B862" s="1">
        <v>856</v>
      </c>
      <c r="C862" s="1">
        <v>8.452115877782326</v>
      </c>
      <c r="D862" s="1">
        <v>-0.4274083003393046</v>
      </c>
      <c r="E862" s="1">
        <v>-7.099457685515004</v>
      </c>
      <c r="F862" s="1">
        <v>-20.978681106849297</v>
      </c>
      <c r="G862" s="1">
        <v>-19.869937028209517</v>
      </c>
    </row>
    <row r="863" spans="2:7" x14ac:dyDescent="0.25">
      <c r="B863" s="1">
        <v>857</v>
      </c>
      <c r="C863" s="1">
        <v>3.8959399894932076</v>
      </c>
      <c r="D863" s="1">
        <v>4.9217090267592454</v>
      </c>
      <c r="E863" s="1">
        <v>3.6165904216404723</v>
      </c>
      <c r="F863" s="1">
        <v>11.807752917805573</v>
      </c>
      <c r="G863" s="1">
        <v>6.2149238888004605</v>
      </c>
    </row>
    <row r="864" spans="2:7" x14ac:dyDescent="0.25">
      <c r="B864" s="1">
        <v>858</v>
      </c>
      <c r="C864" s="1">
        <v>-2.1445071568522716</v>
      </c>
      <c r="D864" s="1">
        <v>8.705436402218572</v>
      </c>
      <c r="E864" s="1">
        <v>-0.34451216778163729</v>
      </c>
      <c r="F864" s="1">
        <v>-5.1863564914147204</v>
      </c>
      <c r="G864" s="1">
        <v>3.7499755329112308</v>
      </c>
    </row>
    <row r="865" spans="2:7" x14ac:dyDescent="0.25">
      <c r="B865" s="1">
        <v>859</v>
      </c>
      <c r="C865" s="1">
        <v>1.8685266014156232</v>
      </c>
      <c r="D865" s="1">
        <v>2.6884515602134309</v>
      </c>
      <c r="E865" s="1">
        <v>4.8125199889840644</v>
      </c>
      <c r="F865" s="1">
        <v>17.555217417083682</v>
      </c>
      <c r="G865" s="1">
        <v>-17.081474739883863</v>
      </c>
    </row>
    <row r="866" spans="2:7" x14ac:dyDescent="0.25">
      <c r="B866" s="1">
        <v>860</v>
      </c>
      <c r="C866" s="1">
        <v>5.2198582372499773</v>
      </c>
      <c r="D866" s="1">
        <v>3.7487185188241092</v>
      </c>
      <c r="E866" s="1">
        <v>11.418539783337291</v>
      </c>
      <c r="F866" s="1">
        <v>14.237330872134526</v>
      </c>
      <c r="G866" s="1">
        <v>-3.1685828207028579</v>
      </c>
    </row>
    <row r="867" spans="2:7" x14ac:dyDescent="0.25">
      <c r="B867" s="1">
        <v>861</v>
      </c>
      <c r="C867" s="1">
        <v>4.0479604797086566</v>
      </c>
      <c r="D867" s="1">
        <v>-1.039532383197999</v>
      </c>
      <c r="E867" s="1">
        <v>15.188814847056355</v>
      </c>
      <c r="F867" s="1">
        <v>-0.87789280947203363</v>
      </c>
      <c r="G867" s="1">
        <v>-6.3030864755905203</v>
      </c>
    </row>
    <row r="868" spans="2:7" x14ac:dyDescent="0.25">
      <c r="B868" s="1">
        <v>862</v>
      </c>
      <c r="C868" s="1">
        <v>0.5821458076194217</v>
      </c>
      <c r="D868" s="1">
        <v>4.1882282242149165</v>
      </c>
      <c r="E868" s="1">
        <v>11.425671750423785</v>
      </c>
      <c r="F868" s="1">
        <v>1.7979982841762692</v>
      </c>
      <c r="G868" s="1">
        <v>-0.43742491729089034</v>
      </c>
    </row>
    <row r="869" spans="2:7" x14ac:dyDescent="0.25">
      <c r="B869" s="1">
        <v>863</v>
      </c>
      <c r="C869" s="1">
        <v>10.209453318290885</v>
      </c>
      <c r="D869" s="1">
        <v>-1.4822239080969863</v>
      </c>
      <c r="E869" s="1">
        <v>8.7978999174192989</v>
      </c>
      <c r="F869" s="1">
        <v>8.5412164661544541</v>
      </c>
      <c r="G869" s="1">
        <v>-2.697313108752752</v>
      </c>
    </row>
    <row r="870" spans="2:7" x14ac:dyDescent="0.25">
      <c r="B870" s="1">
        <v>864</v>
      </c>
      <c r="C870" s="1">
        <v>2.7867348690328089</v>
      </c>
      <c r="D870" s="1">
        <v>0.50327559871029726</v>
      </c>
      <c r="E870" s="1">
        <v>4.7264409393453768</v>
      </c>
      <c r="F870" s="1">
        <v>-22.334758224057119</v>
      </c>
      <c r="G870" s="1">
        <v>-4.3802136945034071</v>
      </c>
    </row>
    <row r="871" spans="2:7" x14ac:dyDescent="0.25">
      <c r="B871" s="1">
        <v>865</v>
      </c>
      <c r="C871" s="1">
        <v>6.2833883550886753</v>
      </c>
      <c r="D871" s="1">
        <v>6.745648144959473</v>
      </c>
      <c r="E871" s="1">
        <v>10.054634318190056</v>
      </c>
      <c r="F871" s="1">
        <v>21.961575981566074</v>
      </c>
      <c r="G871" s="1">
        <v>-25.38746056950685</v>
      </c>
    </row>
    <row r="872" spans="2:7" x14ac:dyDescent="0.25">
      <c r="B872" s="1">
        <v>866</v>
      </c>
      <c r="C872" s="1">
        <v>-0.65090143485296181</v>
      </c>
      <c r="D872" s="1">
        <v>2.5031708316699688</v>
      </c>
      <c r="E872" s="1">
        <v>0.18261124428208697</v>
      </c>
      <c r="F872" s="1">
        <v>-8.3623172766831502</v>
      </c>
      <c r="G872" s="1">
        <v>20.259595951919074</v>
      </c>
    </row>
    <row r="873" spans="2:7" x14ac:dyDescent="0.25">
      <c r="B873" s="1">
        <v>867</v>
      </c>
      <c r="C873" s="1">
        <v>1.9816034705887304</v>
      </c>
      <c r="D873" s="1">
        <v>3.8429011659859964</v>
      </c>
      <c r="E873" s="1">
        <v>8.9513015200649626</v>
      </c>
      <c r="F873" s="1">
        <v>8.9100529259663546</v>
      </c>
      <c r="G873" s="1">
        <v>-9.848693641010124</v>
      </c>
    </row>
    <row r="874" spans="2:7" x14ac:dyDescent="0.25">
      <c r="B874" s="1">
        <v>868</v>
      </c>
      <c r="C874" s="1">
        <v>3.9822205887906961</v>
      </c>
      <c r="D874" s="1">
        <v>7.8047948086726242</v>
      </c>
      <c r="E874" s="1">
        <v>4.4361822641553976</v>
      </c>
      <c r="F874" s="1">
        <v>0.53694380570353384</v>
      </c>
      <c r="G874" s="1">
        <v>8.6801180588138092</v>
      </c>
    </row>
    <row r="875" spans="2:7" x14ac:dyDescent="0.25">
      <c r="B875" s="1">
        <v>869</v>
      </c>
      <c r="C875" s="1">
        <v>7.4889625772824662</v>
      </c>
      <c r="D875" s="1">
        <v>8.853522611244582</v>
      </c>
      <c r="E875" s="1">
        <v>5.7659265943585938</v>
      </c>
      <c r="F875" s="1">
        <v>-3.3818015500258412</v>
      </c>
      <c r="G875" s="1">
        <v>14.355638295951852</v>
      </c>
    </row>
    <row r="876" spans="2:7" x14ac:dyDescent="0.25">
      <c r="B876" s="1">
        <v>870</v>
      </c>
      <c r="C876" s="1">
        <v>3.1410641290952164</v>
      </c>
      <c r="D876" s="1">
        <v>3.8828181570269567</v>
      </c>
      <c r="E876" s="1">
        <v>8.8910012040326141</v>
      </c>
      <c r="F876" s="1">
        <v>-1.6761587270211473</v>
      </c>
      <c r="G876" s="1">
        <v>39.24623440031997</v>
      </c>
    </row>
    <row r="877" spans="2:7" x14ac:dyDescent="0.25">
      <c r="B877" s="1">
        <v>871</v>
      </c>
      <c r="C877" s="1">
        <v>7.6846915448795823</v>
      </c>
      <c r="D877" s="1">
        <v>7.2687523968574013</v>
      </c>
      <c r="E877" s="1">
        <v>3.4619183937973181</v>
      </c>
      <c r="F877" s="1">
        <v>-2.7408204410447659</v>
      </c>
      <c r="G877" s="1">
        <v>-15.471020721781757</v>
      </c>
    </row>
    <row r="878" spans="2:7" x14ac:dyDescent="0.25">
      <c r="B878" s="1">
        <v>872</v>
      </c>
      <c r="C878" s="1">
        <v>1.191744229482943</v>
      </c>
      <c r="D878" s="1">
        <v>4.9210410970683709</v>
      </c>
      <c r="E878" s="1">
        <v>4.8876710939665369</v>
      </c>
      <c r="F878" s="1">
        <v>7.9606565460155805</v>
      </c>
      <c r="G878" s="1">
        <v>-18.001643405654065</v>
      </c>
    </row>
    <row r="879" spans="2:7" x14ac:dyDescent="0.25">
      <c r="B879" s="1">
        <v>873</v>
      </c>
      <c r="C879" s="1">
        <v>4.1293152837296905</v>
      </c>
      <c r="D879" s="1">
        <v>4.4238346354515121</v>
      </c>
      <c r="E879" s="1">
        <v>-4.2160367274675368</v>
      </c>
      <c r="F879" s="1">
        <v>2.7459624312703528</v>
      </c>
      <c r="G879" s="1">
        <v>-4.0032316457746067</v>
      </c>
    </row>
    <row r="880" spans="2:7" x14ac:dyDescent="0.25">
      <c r="B880" s="1">
        <v>874</v>
      </c>
      <c r="C880" s="1">
        <v>3.4890406880467295</v>
      </c>
      <c r="D880" s="1">
        <v>-1.6368171599188379</v>
      </c>
      <c r="E880" s="1">
        <v>-2.7439090634790815</v>
      </c>
      <c r="F880" s="1">
        <v>-10.260695312883996</v>
      </c>
      <c r="G880" s="1">
        <v>10.444887498571134</v>
      </c>
    </row>
    <row r="881" spans="2:7" x14ac:dyDescent="0.25">
      <c r="B881" s="1">
        <v>875</v>
      </c>
      <c r="C881" s="1">
        <v>1.9954062661164429</v>
      </c>
      <c r="D881" s="1">
        <v>4.2588141804141397</v>
      </c>
      <c r="E881" s="1">
        <v>-4.7323442967375851</v>
      </c>
      <c r="F881" s="1">
        <v>3.1946322162767622</v>
      </c>
      <c r="G881" s="1">
        <v>14.352563939898515</v>
      </c>
    </row>
    <row r="882" spans="2:7" x14ac:dyDescent="0.25">
      <c r="B882" s="1">
        <v>876</v>
      </c>
      <c r="C882" s="1">
        <v>1.9931032560663358</v>
      </c>
      <c r="D882" s="1">
        <v>0.73246573082613686</v>
      </c>
      <c r="E882" s="1">
        <v>2.3801231083239052</v>
      </c>
      <c r="F882" s="1">
        <v>-4.6280264318327191</v>
      </c>
      <c r="G882" s="1">
        <v>4.7765366314918429</v>
      </c>
    </row>
    <row r="883" spans="2:7" x14ac:dyDescent="0.25">
      <c r="B883" s="1">
        <v>877</v>
      </c>
      <c r="C883" s="1">
        <v>2.1994297427051728</v>
      </c>
      <c r="D883" s="1">
        <v>-1.8460433408699026</v>
      </c>
      <c r="E883" s="1">
        <v>20.226834106299862</v>
      </c>
      <c r="F883" s="1">
        <v>7.2630236267563877</v>
      </c>
      <c r="G883" s="1">
        <v>16.507926529099368</v>
      </c>
    </row>
    <row r="884" spans="2:7" x14ac:dyDescent="0.25">
      <c r="B884" s="1">
        <v>878</v>
      </c>
      <c r="C884" s="1">
        <v>0.45780457446755163</v>
      </c>
      <c r="D884" s="1">
        <v>5.3226289118154897</v>
      </c>
      <c r="E884" s="1">
        <v>-8.2245403665042964</v>
      </c>
      <c r="F884" s="1">
        <v>1.8397827838382632</v>
      </c>
      <c r="G884" s="1">
        <v>7.204761980642556</v>
      </c>
    </row>
    <row r="885" spans="2:7" x14ac:dyDescent="0.25">
      <c r="B885" s="1">
        <v>879</v>
      </c>
      <c r="C885" s="1">
        <v>3.2094576626594868</v>
      </c>
      <c r="D885" s="1">
        <v>0.91488552483050978</v>
      </c>
      <c r="E885" s="1">
        <v>8.9340762025319655</v>
      </c>
      <c r="F885" s="1">
        <v>12.973476713907527</v>
      </c>
      <c r="G885" s="1">
        <v>-3.5344577609055454</v>
      </c>
    </row>
    <row r="886" spans="2:7" x14ac:dyDescent="0.25">
      <c r="B886" s="1">
        <v>880</v>
      </c>
      <c r="C886" s="1">
        <v>3.2058142958280262</v>
      </c>
      <c r="D886" s="1">
        <v>6.1742928868982503</v>
      </c>
      <c r="E886" s="1">
        <v>8.9120138513931266</v>
      </c>
      <c r="F886" s="1">
        <v>11.91997463027986</v>
      </c>
      <c r="G886" s="1">
        <v>12.485985942086295</v>
      </c>
    </row>
    <row r="887" spans="2:7" x14ac:dyDescent="0.25">
      <c r="B887" s="1">
        <v>881</v>
      </c>
      <c r="C887" s="1">
        <v>5.8349628363310542</v>
      </c>
      <c r="D887" s="1">
        <v>-0.48927322195811623</v>
      </c>
      <c r="E887" s="1">
        <v>4.3019583663917409</v>
      </c>
      <c r="F887" s="1">
        <v>13.469517711304738</v>
      </c>
      <c r="G887" s="1">
        <v>33.114153755212186</v>
      </c>
    </row>
    <row r="888" spans="2:7" x14ac:dyDescent="0.25">
      <c r="B888" s="1">
        <v>882</v>
      </c>
      <c r="C888" s="1">
        <v>3.6573621633959004</v>
      </c>
      <c r="D888" s="1">
        <v>0.61858658040955605</v>
      </c>
      <c r="E888" s="1">
        <v>10.672004000096905</v>
      </c>
      <c r="F888" s="1">
        <v>23.195124989510074</v>
      </c>
      <c r="G888" s="1">
        <v>8.3575954712785325</v>
      </c>
    </row>
    <row r="889" spans="2:7" x14ac:dyDescent="0.25">
      <c r="B889" s="1">
        <v>883</v>
      </c>
      <c r="C889" s="1">
        <v>4.7352517297026111</v>
      </c>
      <c r="D889" s="1">
        <v>2.2603845690737114</v>
      </c>
      <c r="E889" s="1">
        <v>-1.468128292349876</v>
      </c>
      <c r="F889" s="1">
        <v>-2.1366089143632112</v>
      </c>
      <c r="G889" s="1">
        <v>4.5962871859137859</v>
      </c>
    </row>
    <row r="890" spans="2:7" x14ac:dyDescent="0.25">
      <c r="B890" s="1">
        <v>884</v>
      </c>
      <c r="C890" s="1">
        <v>4.1304108609381727</v>
      </c>
      <c r="D890" s="1">
        <v>-9.7077917217429839</v>
      </c>
      <c r="E890" s="1">
        <v>1.2356625928964269</v>
      </c>
      <c r="F890" s="1">
        <v>4.9745148743216951</v>
      </c>
      <c r="G890" s="1">
        <v>-15.779616416227743</v>
      </c>
    </row>
    <row r="891" spans="2:7" x14ac:dyDescent="0.25">
      <c r="B891" s="1">
        <v>885</v>
      </c>
      <c r="C891" s="1">
        <v>5.7151371376261082</v>
      </c>
      <c r="D891" s="1">
        <v>4.9888207554494963</v>
      </c>
      <c r="E891" s="1">
        <v>0.35225883954198639</v>
      </c>
      <c r="F891" s="1">
        <v>6.9104931968013847</v>
      </c>
      <c r="G891" s="1">
        <v>9.7561413600308136</v>
      </c>
    </row>
    <row r="892" spans="2:7" x14ac:dyDescent="0.25">
      <c r="B892" s="1">
        <v>886</v>
      </c>
      <c r="C892" s="1">
        <v>8.3155886080360588</v>
      </c>
      <c r="D892" s="1">
        <v>5.3349357391028107</v>
      </c>
      <c r="E892" s="1">
        <v>-2.2052381069063482</v>
      </c>
      <c r="F892" s="1">
        <v>3.8217403728140602</v>
      </c>
      <c r="G892" s="1">
        <v>10.995084132727278</v>
      </c>
    </row>
    <row r="893" spans="2:7" x14ac:dyDescent="0.25">
      <c r="B893" s="1">
        <v>887</v>
      </c>
      <c r="C893" s="1">
        <v>-4.0833342244454469</v>
      </c>
      <c r="D893" s="1">
        <v>-1.1633599587496861</v>
      </c>
      <c r="E893" s="1">
        <v>2.8947867312387299</v>
      </c>
      <c r="F893" s="1">
        <v>5.0226473384250445</v>
      </c>
      <c r="G893" s="1">
        <v>-13.090255657557792</v>
      </c>
    </row>
    <row r="894" spans="2:7" x14ac:dyDescent="0.25">
      <c r="B894" s="1">
        <v>888</v>
      </c>
      <c r="C894" s="1">
        <v>5.1165586790645179</v>
      </c>
      <c r="D894" s="1">
        <v>-3.1490138006715904</v>
      </c>
      <c r="E894" s="1">
        <v>11.567579441351429</v>
      </c>
      <c r="F894" s="1">
        <v>18.340201359137826</v>
      </c>
      <c r="G894" s="1">
        <v>16.457008270314329</v>
      </c>
    </row>
    <row r="895" spans="2:7" x14ac:dyDescent="0.25">
      <c r="B895" s="1">
        <v>889</v>
      </c>
      <c r="C895" s="1">
        <v>1.2412960589425295</v>
      </c>
      <c r="D895" s="1">
        <v>6.8686315902013568</v>
      </c>
      <c r="E895" s="1">
        <v>-1.5236919306461483</v>
      </c>
      <c r="F895" s="1">
        <v>2.0340005424164223</v>
      </c>
      <c r="G895" s="1">
        <v>19.957343689555202</v>
      </c>
    </row>
    <row r="896" spans="2:7" x14ac:dyDescent="0.25">
      <c r="B896" s="1">
        <v>890</v>
      </c>
      <c r="C896" s="1">
        <v>1.3245196816757145</v>
      </c>
      <c r="D896" s="1">
        <v>-0.93755331535599584</v>
      </c>
      <c r="E896" s="1">
        <v>11.980215431609052</v>
      </c>
      <c r="F896" s="1">
        <v>-0.16771035297149503</v>
      </c>
      <c r="G896" s="1">
        <v>7.799415847950657</v>
      </c>
    </row>
    <row r="897" spans="2:7" x14ac:dyDescent="0.25">
      <c r="B897" s="1">
        <v>891</v>
      </c>
      <c r="C897" s="1">
        <v>5.743908976324887</v>
      </c>
      <c r="D897" s="1">
        <v>8.0381038442366712</v>
      </c>
      <c r="E897" s="1">
        <v>2.2384636328084473</v>
      </c>
      <c r="F897" s="1">
        <v>22.655416758864895</v>
      </c>
      <c r="G897" s="1">
        <v>13.237622304686901</v>
      </c>
    </row>
    <row r="898" spans="2:7" x14ac:dyDescent="0.25">
      <c r="B898" s="1">
        <v>892</v>
      </c>
      <c r="C898" s="1">
        <v>1.1601903007699266</v>
      </c>
      <c r="D898" s="1">
        <v>-0.19418541182089008</v>
      </c>
      <c r="E898" s="1">
        <v>-1.5381672282952841</v>
      </c>
      <c r="F898" s="1">
        <v>14.797988810679604</v>
      </c>
      <c r="G898" s="1">
        <v>6.0154605482401085</v>
      </c>
    </row>
    <row r="899" spans="2:7" x14ac:dyDescent="0.25">
      <c r="B899" s="1">
        <v>893</v>
      </c>
      <c r="C899" s="1">
        <v>-0.99175293659899033</v>
      </c>
      <c r="D899" s="1">
        <v>-3.2386820913348591</v>
      </c>
      <c r="E899" s="1">
        <v>1.0445155630822691</v>
      </c>
      <c r="F899" s="1">
        <v>-6.3450827462854313</v>
      </c>
      <c r="G899" s="1">
        <v>6.1340260864662257</v>
      </c>
    </row>
    <row r="900" spans="2:7" x14ac:dyDescent="0.25">
      <c r="B900" s="1">
        <v>894</v>
      </c>
      <c r="C900" s="1">
        <v>3.0258025348553352</v>
      </c>
      <c r="D900" s="1">
        <v>7.1051868573960899</v>
      </c>
      <c r="E900" s="1">
        <v>5.8495538457640697</v>
      </c>
      <c r="F900" s="1">
        <v>10.42678114787482</v>
      </c>
      <c r="G900" s="1">
        <v>-0.79309378726158819</v>
      </c>
    </row>
    <row r="901" spans="2:7" x14ac:dyDescent="0.25">
      <c r="B901" s="1">
        <v>895</v>
      </c>
      <c r="C901" s="1">
        <v>-6.783264881812201E-2</v>
      </c>
      <c r="D901" s="1">
        <v>4.5299445230651472</v>
      </c>
      <c r="E901" s="1">
        <v>4.915940937929494</v>
      </c>
      <c r="F901" s="1">
        <v>-4.8772774116491444</v>
      </c>
      <c r="G901" s="1">
        <v>11.975269037308667</v>
      </c>
    </row>
    <row r="902" spans="2:7" x14ac:dyDescent="0.25">
      <c r="B902" s="1">
        <v>896</v>
      </c>
      <c r="C902" s="1">
        <v>5.2706790519592701</v>
      </c>
      <c r="D902" s="1">
        <v>5.6316719390806327</v>
      </c>
      <c r="E902" s="1">
        <v>12.590912238785293</v>
      </c>
      <c r="F902" s="1">
        <v>-0.97671962199371865</v>
      </c>
      <c r="G902" s="1">
        <v>4.3055585229801343</v>
      </c>
    </row>
    <row r="903" spans="2:7" x14ac:dyDescent="0.25">
      <c r="B903" s="1">
        <v>897</v>
      </c>
      <c r="C903" s="1">
        <v>7.1635282827099607</v>
      </c>
      <c r="D903" s="1">
        <v>-0.34943351891059232</v>
      </c>
      <c r="E903" s="1">
        <v>1.3143376093649004</v>
      </c>
      <c r="F903" s="1">
        <v>1.8411542462080572</v>
      </c>
      <c r="G903" s="1">
        <v>12.135649332022545</v>
      </c>
    </row>
    <row r="904" spans="2:7" x14ac:dyDescent="0.25">
      <c r="B904" s="1">
        <v>898</v>
      </c>
      <c r="C904" s="1">
        <v>0.67216002728504098</v>
      </c>
      <c r="D904" s="1">
        <v>10.326245923093412</v>
      </c>
      <c r="E904" s="1">
        <v>7.6803772717955958</v>
      </c>
      <c r="F904" s="1">
        <v>3.9009031331015422</v>
      </c>
      <c r="G904" s="1">
        <v>-6.6532383997163969</v>
      </c>
    </row>
    <row r="905" spans="2:7" x14ac:dyDescent="0.25">
      <c r="B905" s="1">
        <v>899</v>
      </c>
      <c r="C905" s="1">
        <v>2.1366456429450755</v>
      </c>
      <c r="D905" s="1">
        <v>6.9707949928043131</v>
      </c>
      <c r="E905" s="1">
        <v>-3.8405990416974083</v>
      </c>
      <c r="F905" s="1">
        <v>-13.272642682462424</v>
      </c>
      <c r="G905" s="1">
        <v>7.8797863316402044</v>
      </c>
    </row>
    <row r="906" spans="2:7" x14ac:dyDescent="0.25">
      <c r="B906" s="1">
        <v>900</v>
      </c>
      <c r="C906" s="1">
        <v>4.3066848622758771</v>
      </c>
      <c r="D906" s="1">
        <v>1.2520750143934918</v>
      </c>
      <c r="E906" s="1">
        <v>9.8392864263894264</v>
      </c>
      <c r="F906" s="1">
        <v>-4.8735921317524626</v>
      </c>
      <c r="G906" s="1">
        <v>-3.4299690409912666</v>
      </c>
    </row>
    <row r="907" spans="2:7" x14ac:dyDescent="0.25">
      <c r="B907" s="1">
        <v>901</v>
      </c>
      <c r="C907" s="1">
        <v>-2.1034396576511956</v>
      </c>
      <c r="D907" s="1">
        <v>2.705353138451597</v>
      </c>
      <c r="E907" s="1">
        <v>1.8654719201530519</v>
      </c>
      <c r="F907" s="1">
        <v>8.1234784258164456</v>
      </c>
      <c r="G907" s="1">
        <v>10.345457015960944</v>
      </c>
    </row>
    <row r="908" spans="2:7" x14ac:dyDescent="0.25">
      <c r="B908" s="1">
        <v>902</v>
      </c>
      <c r="C908" s="1">
        <v>1.3898314029565233</v>
      </c>
      <c r="D908" s="1">
        <v>9.2027838194959131</v>
      </c>
      <c r="E908" s="1">
        <v>14.778968233223155</v>
      </c>
      <c r="F908" s="1">
        <v>8.7780452033296275</v>
      </c>
      <c r="G908" s="1">
        <v>23.620667696602673</v>
      </c>
    </row>
    <row r="909" spans="2:7" x14ac:dyDescent="0.25">
      <c r="B909" s="1">
        <v>903</v>
      </c>
      <c r="C909" s="1">
        <v>3.5713806613973729</v>
      </c>
      <c r="D909" s="1">
        <v>2.9538027495759263</v>
      </c>
      <c r="E909" s="1">
        <v>-5.4334040564949042</v>
      </c>
      <c r="F909" s="1">
        <v>6.8122425604491328</v>
      </c>
      <c r="G909" s="1">
        <v>-0.51437677643822055</v>
      </c>
    </row>
    <row r="910" spans="2:7" x14ac:dyDescent="0.25">
      <c r="B910" s="1">
        <v>904</v>
      </c>
      <c r="C910" s="1">
        <v>4.4120242234130265</v>
      </c>
      <c r="D910" s="1">
        <v>6.959272485871149</v>
      </c>
      <c r="E910" s="1">
        <v>4.2395242705618408</v>
      </c>
      <c r="F910" s="1">
        <v>11.089433493726794</v>
      </c>
      <c r="G910" s="1">
        <v>-7.6203590511861607</v>
      </c>
    </row>
    <row r="911" spans="2:7" x14ac:dyDescent="0.25">
      <c r="B911" s="1">
        <v>905</v>
      </c>
      <c r="C911" s="1">
        <v>-0.78172776350494644</v>
      </c>
      <c r="D911" s="1">
        <v>-4.4828637765998511</v>
      </c>
      <c r="E911" s="1">
        <v>0.38195647349084616</v>
      </c>
      <c r="F911" s="1">
        <v>17.278697943418475</v>
      </c>
      <c r="G911" s="1">
        <v>-14.362821376850706</v>
      </c>
    </row>
    <row r="912" spans="2:7" x14ac:dyDescent="0.25">
      <c r="B912" s="1">
        <v>906</v>
      </c>
      <c r="C912" s="1">
        <v>-0.77511697366979382</v>
      </c>
      <c r="D912" s="1">
        <v>3.5573872745404862</v>
      </c>
      <c r="E912" s="1">
        <v>5.0121694600216387</v>
      </c>
      <c r="F912" s="1">
        <v>8.2084446871236558</v>
      </c>
      <c r="G912" s="1">
        <v>-20.793353362440794</v>
      </c>
    </row>
    <row r="913" spans="2:7" x14ac:dyDescent="0.25">
      <c r="B913" s="1">
        <v>907</v>
      </c>
      <c r="C913" s="1">
        <v>3.356027573198062</v>
      </c>
      <c r="D913" s="1">
        <v>3.8802741026278555</v>
      </c>
      <c r="E913" s="1">
        <v>4.834495786809736</v>
      </c>
      <c r="F913" s="1">
        <v>12.417169143845078</v>
      </c>
      <c r="G913" s="1">
        <v>8.5878144404124015</v>
      </c>
    </row>
    <row r="914" spans="2:7" x14ac:dyDescent="0.25">
      <c r="B914" s="1">
        <v>908</v>
      </c>
      <c r="C914" s="1">
        <v>5.1652818996163408</v>
      </c>
      <c r="D914" s="1">
        <v>3.0775624026103259</v>
      </c>
      <c r="E914" s="1">
        <v>-0.18965247808383684</v>
      </c>
      <c r="F914" s="1">
        <v>11.601536356801345</v>
      </c>
      <c r="G914" s="1">
        <v>6.6559470124539315</v>
      </c>
    </row>
    <row r="915" spans="2:7" x14ac:dyDescent="0.25">
      <c r="B915" s="1">
        <v>909</v>
      </c>
      <c r="C915" s="1">
        <v>-1.5848912495984022</v>
      </c>
      <c r="D915" s="1">
        <v>1.0425337013955411</v>
      </c>
      <c r="E915" s="1">
        <v>-0.29580227366678535</v>
      </c>
      <c r="F915" s="1">
        <v>0.86737047738250461</v>
      </c>
      <c r="G915" s="1">
        <v>12.896621021152338</v>
      </c>
    </row>
    <row r="916" spans="2:7" x14ac:dyDescent="0.25">
      <c r="B916" s="1">
        <v>910</v>
      </c>
      <c r="C916" s="1">
        <v>1.4128664018193857</v>
      </c>
      <c r="D916" s="1">
        <v>3.6248974848234612</v>
      </c>
      <c r="E916" s="1">
        <v>-1.8061273314246997</v>
      </c>
      <c r="F916" s="1">
        <v>17.496622010233317</v>
      </c>
      <c r="G916" s="1">
        <v>24.805888912022496</v>
      </c>
    </row>
    <row r="917" spans="2:7" x14ac:dyDescent="0.25">
      <c r="B917" s="1">
        <v>911</v>
      </c>
      <c r="C917" s="1">
        <v>1.0258361441424293</v>
      </c>
      <c r="D917" s="1">
        <v>-0.33389565452508052</v>
      </c>
      <c r="E917" s="1">
        <v>0.41908211977413251</v>
      </c>
      <c r="F917" s="1">
        <v>1.9014027307357038</v>
      </c>
      <c r="G917" s="1">
        <v>9.8956211755727637</v>
      </c>
    </row>
    <row r="918" spans="2:7" x14ac:dyDescent="0.25">
      <c r="B918" s="1">
        <v>912</v>
      </c>
      <c r="C918" s="1">
        <v>3.3848915011262193E-2</v>
      </c>
      <c r="D918" s="1">
        <v>5.0013474086416059</v>
      </c>
      <c r="E918" s="1">
        <v>11.977848102965941</v>
      </c>
      <c r="F918" s="1">
        <v>-4.9702562241280992</v>
      </c>
      <c r="G918" s="1">
        <v>12.979037305108537</v>
      </c>
    </row>
    <row r="919" spans="2:7" x14ac:dyDescent="0.25">
      <c r="B919" s="1">
        <v>913</v>
      </c>
      <c r="C919" s="1">
        <v>-1.1819039585184901</v>
      </c>
      <c r="D919" s="1">
        <v>0.70960326574000543</v>
      </c>
      <c r="E919" s="1">
        <v>0.4398537173665435</v>
      </c>
      <c r="F919" s="1">
        <v>-0.36863683406848879</v>
      </c>
      <c r="G919" s="1">
        <v>-7.8005930161563226</v>
      </c>
    </row>
    <row r="920" spans="2:7" x14ac:dyDescent="0.25">
      <c r="B920" s="1">
        <v>914</v>
      </c>
      <c r="C920" s="1">
        <v>4.8508447115960696</v>
      </c>
      <c r="D920" s="1">
        <v>16.008616142819669</v>
      </c>
      <c r="E920" s="1">
        <v>17.242772511605718</v>
      </c>
      <c r="F920" s="1">
        <v>6.3630226168085215</v>
      </c>
      <c r="G920" s="1">
        <v>14.385170270507636</v>
      </c>
    </row>
    <row r="921" spans="2:7" x14ac:dyDescent="0.25">
      <c r="B921" s="1">
        <v>915</v>
      </c>
      <c r="C921" s="1">
        <v>2.5230698151881894</v>
      </c>
      <c r="D921" s="1">
        <v>10.093592087095633</v>
      </c>
      <c r="E921" s="1">
        <v>-4.4795540872380819</v>
      </c>
      <c r="F921" s="1">
        <v>3.9268694696730546</v>
      </c>
      <c r="G921" s="1">
        <v>3.422043219665091</v>
      </c>
    </row>
    <row r="922" spans="2:7" x14ac:dyDescent="0.25">
      <c r="B922" s="1">
        <v>916</v>
      </c>
      <c r="C922" s="1">
        <v>0.35694930942491521</v>
      </c>
      <c r="D922" s="1">
        <v>6.3902686452221927E-2</v>
      </c>
      <c r="E922" s="1">
        <v>-6.0592386499363524</v>
      </c>
      <c r="F922" s="1">
        <v>4.8425539325130034</v>
      </c>
      <c r="G922" s="1">
        <v>6.2166953666559346</v>
      </c>
    </row>
    <row r="923" spans="2:7" x14ac:dyDescent="0.25">
      <c r="B923" s="1">
        <v>917</v>
      </c>
      <c r="C923" s="1">
        <v>0.46986829683994769</v>
      </c>
      <c r="D923" s="1">
        <v>4.8951997112785257E-2</v>
      </c>
      <c r="E923" s="1">
        <v>5.669187223374264</v>
      </c>
      <c r="F923" s="1">
        <v>-1.6348039078709484</v>
      </c>
      <c r="G923" s="1">
        <v>-17.750908196960477</v>
      </c>
    </row>
    <row r="924" spans="2:7" x14ac:dyDescent="0.25">
      <c r="B924" s="1">
        <v>918</v>
      </c>
      <c r="C924" s="1">
        <v>6.380504258130193</v>
      </c>
      <c r="D924" s="1">
        <v>7.9355135503132139</v>
      </c>
      <c r="E924" s="1">
        <v>5.2404887862327527</v>
      </c>
      <c r="F924" s="1">
        <v>17.083366568656206</v>
      </c>
      <c r="G924" s="1">
        <v>-2.2720677118674946</v>
      </c>
    </row>
    <row r="925" spans="2:7" x14ac:dyDescent="0.25">
      <c r="B925" s="1">
        <v>919</v>
      </c>
      <c r="C925" s="1">
        <v>0.10916311227492592</v>
      </c>
      <c r="D925" s="1">
        <v>10.025789260419497</v>
      </c>
      <c r="E925" s="1">
        <v>0.84573318471852643</v>
      </c>
      <c r="F925" s="1">
        <v>16.257951449878561</v>
      </c>
      <c r="G925" s="1">
        <v>-4.5205754122574087</v>
      </c>
    </row>
    <row r="926" spans="2:7" x14ac:dyDescent="0.25">
      <c r="B926" s="1">
        <v>920</v>
      </c>
      <c r="C926" s="1">
        <v>7.2935686381901617</v>
      </c>
      <c r="D926" s="1">
        <v>4.7646627362535208</v>
      </c>
      <c r="E926" s="1">
        <v>8.2068408876028993</v>
      </c>
      <c r="F926" s="1">
        <v>-4.4972062758137303</v>
      </c>
      <c r="G926" s="1">
        <v>-3.7127937742864829</v>
      </c>
    </row>
    <row r="927" spans="2:7" x14ac:dyDescent="0.25">
      <c r="B927" s="1">
        <v>921</v>
      </c>
      <c r="C927" s="1">
        <v>1.5608196016820117</v>
      </c>
      <c r="D927" s="1">
        <v>6.3382740760024525</v>
      </c>
      <c r="E927" s="1">
        <v>-2.4959758556571585</v>
      </c>
      <c r="F927" s="1">
        <v>10.025593292356747</v>
      </c>
      <c r="G927" s="1">
        <v>11.17348254594952</v>
      </c>
    </row>
    <row r="928" spans="2:7" x14ac:dyDescent="0.25">
      <c r="B928" s="1">
        <v>922</v>
      </c>
      <c r="C928" s="1">
        <v>8.7512375977735797</v>
      </c>
      <c r="D928" s="1">
        <v>9.1635845429838554</v>
      </c>
      <c r="E928" s="1">
        <v>8.4129326909839044</v>
      </c>
      <c r="F928" s="1">
        <v>-0.72948762752151941</v>
      </c>
      <c r="G928" s="1">
        <v>2.4916090744335402</v>
      </c>
    </row>
    <row r="929" spans="2:7" x14ac:dyDescent="0.25">
      <c r="B929" s="1">
        <v>923</v>
      </c>
      <c r="C929" s="1">
        <v>-0.98980448630199636</v>
      </c>
      <c r="D929" s="1">
        <v>11.320736601014891</v>
      </c>
      <c r="E929" s="1">
        <v>-11.825834551052209</v>
      </c>
      <c r="F929" s="1">
        <v>-1.7053964112521995</v>
      </c>
      <c r="G929" s="1">
        <v>-0.42467815984477836</v>
      </c>
    </row>
    <row r="930" spans="2:7" x14ac:dyDescent="0.25">
      <c r="B930" s="1">
        <v>924</v>
      </c>
      <c r="C930" s="1">
        <v>7.2893255169885887</v>
      </c>
      <c r="D930" s="1">
        <v>12.109576174411895</v>
      </c>
      <c r="E930" s="1">
        <v>4.2805974591664953</v>
      </c>
      <c r="F930" s="1">
        <v>11.942657315340147</v>
      </c>
      <c r="G930" s="1">
        <v>32.528072969509466</v>
      </c>
    </row>
    <row r="931" spans="2:7" x14ac:dyDescent="0.25">
      <c r="B931" s="1">
        <v>925</v>
      </c>
      <c r="C931" s="1">
        <v>6.4888819351117366</v>
      </c>
      <c r="D931" s="1">
        <v>16.512260796302421</v>
      </c>
      <c r="E931" s="1">
        <v>14.852548124054984</v>
      </c>
      <c r="F931" s="1">
        <v>11.870932515733699</v>
      </c>
      <c r="G931" s="1">
        <v>7.8896887418810939</v>
      </c>
    </row>
    <row r="932" spans="2:7" x14ac:dyDescent="0.25">
      <c r="B932" s="1">
        <v>926</v>
      </c>
      <c r="C932" s="1">
        <v>5.276306254240799</v>
      </c>
      <c r="D932" s="1">
        <v>3.4073786017281895</v>
      </c>
      <c r="E932" s="1">
        <v>1.4290489247138842</v>
      </c>
      <c r="F932" s="1">
        <v>14.552591018168012</v>
      </c>
      <c r="G932" s="1">
        <v>6.7036129261913349</v>
      </c>
    </row>
    <row r="933" spans="2:7" x14ac:dyDescent="0.25">
      <c r="B933" s="1">
        <v>927</v>
      </c>
      <c r="C933" s="1">
        <v>1.2934929925487992</v>
      </c>
      <c r="D933" s="1">
        <v>1.7595331264043157</v>
      </c>
      <c r="E933" s="1">
        <v>-1.4827184199824928</v>
      </c>
      <c r="F933" s="1">
        <v>-1.0290227672180863</v>
      </c>
      <c r="G933" s="1">
        <v>24.337994294955752</v>
      </c>
    </row>
    <row r="934" spans="2:7" x14ac:dyDescent="0.25">
      <c r="B934" s="1">
        <v>928</v>
      </c>
      <c r="C934" s="1">
        <v>-1.5402066333579185</v>
      </c>
      <c r="D934" s="1">
        <v>4.5134755295087681</v>
      </c>
      <c r="E934" s="1">
        <v>12.31112418372618</v>
      </c>
      <c r="F934" s="1">
        <v>2.9742948261428626</v>
      </c>
      <c r="G934" s="1">
        <v>13.146033106420703</v>
      </c>
    </row>
    <row r="935" spans="2:7" x14ac:dyDescent="0.25">
      <c r="B935" s="1">
        <v>929</v>
      </c>
      <c r="C935" s="1">
        <v>4.135941276038789</v>
      </c>
      <c r="D935" s="1">
        <v>13.095300327515881</v>
      </c>
      <c r="E935" s="1">
        <v>7.2012067374164621</v>
      </c>
      <c r="F935" s="1">
        <v>0.97274071458096178</v>
      </c>
      <c r="G935" s="1">
        <v>-4.5141339877857378</v>
      </c>
    </row>
    <row r="936" spans="2:7" x14ac:dyDescent="0.25">
      <c r="B936" s="1">
        <v>930</v>
      </c>
      <c r="C936" s="1">
        <v>1.4290957044692782</v>
      </c>
      <c r="D936" s="1">
        <v>7.821495299768606</v>
      </c>
      <c r="E936" s="1">
        <v>5.4419042828282009</v>
      </c>
      <c r="F936" s="1">
        <v>14.484271136893581</v>
      </c>
      <c r="G936" s="1">
        <v>42.029609264746362</v>
      </c>
    </row>
    <row r="937" spans="2:7" x14ac:dyDescent="0.25">
      <c r="B937" s="1">
        <v>931</v>
      </c>
      <c r="C937" s="1">
        <v>2.8016718514969039</v>
      </c>
      <c r="D937" s="1">
        <v>3.6404733085206296</v>
      </c>
      <c r="E937" s="1">
        <v>13.209495271580602</v>
      </c>
      <c r="F937" s="1">
        <v>2.3781889645148158</v>
      </c>
      <c r="G937" s="1">
        <v>16.152767292578158</v>
      </c>
    </row>
    <row r="938" spans="2:7" x14ac:dyDescent="0.25">
      <c r="B938" s="1">
        <v>932</v>
      </c>
      <c r="C938" s="1">
        <v>3.9568211824765775E-2</v>
      </c>
      <c r="D938" s="1">
        <v>1.8390510131835995</v>
      </c>
      <c r="E938" s="1">
        <v>-2.3611579273760341</v>
      </c>
      <c r="F938" s="1">
        <v>0.74107462621008136</v>
      </c>
      <c r="G938" s="1">
        <v>4.999791644283909</v>
      </c>
    </row>
    <row r="939" spans="2:7" x14ac:dyDescent="0.25">
      <c r="B939" s="1">
        <v>933</v>
      </c>
      <c r="C939" s="1">
        <v>8.4638179018918116</v>
      </c>
      <c r="D939" s="1">
        <v>5.047353932402646</v>
      </c>
      <c r="E939" s="1">
        <v>-3.342615579513359</v>
      </c>
      <c r="F939" s="1">
        <v>17.401338245092195</v>
      </c>
      <c r="G939" s="1">
        <v>10.866324094855054</v>
      </c>
    </row>
    <row r="940" spans="2:7" x14ac:dyDescent="0.25">
      <c r="B940" s="1">
        <v>934</v>
      </c>
      <c r="C940" s="1">
        <v>2.5899850311263575</v>
      </c>
      <c r="D940" s="1">
        <v>-7.0702752263762383</v>
      </c>
      <c r="E940" s="1">
        <v>-1.1566711632564082</v>
      </c>
      <c r="F940" s="1">
        <v>4.2534805116167398</v>
      </c>
      <c r="G940" s="1">
        <v>-21.160014744801654</v>
      </c>
    </row>
    <row r="941" spans="2:7" x14ac:dyDescent="0.25">
      <c r="B941" s="1">
        <v>935</v>
      </c>
      <c r="C941" s="1">
        <v>3.4522624324546998</v>
      </c>
      <c r="D941" s="1">
        <v>6.2608171671630872</v>
      </c>
      <c r="E941" s="1">
        <v>-2.0958542307543824</v>
      </c>
      <c r="F941" s="1">
        <v>8.3419627381056376</v>
      </c>
      <c r="G941" s="1">
        <v>9.9467882182395453</v>
      </c>
    </row>
    <row r="942" spans="2:7" x14ac:dyDescent="0.25">
      <c r="B942" s="1">
        <v>936</v>
      </c>
      <c r="C942" s="1">
        <v>3.8192791779643067</v>
      </c>
      <c r="D942" s="1">
        <v>-5.7231020143804798</v>
      </c>
      <c r="E942" s="1">
        <v>-14.359234447213799</v>
      </c>
      <c r="F942" s="1">
        <v>-8.8477936255963758</v>
      </c>
      <c r="G942" s="1">
        <v>-4.7537518589721239</v>
      </c>
    </row>
    <row r="943" spans="2:7" x14ac:dyDescent="0.25">
      <c r="B943" s="1">
        <v>937</v>
      </c>
      <c r="C943" s="1">
        <v>0.7959996067007844</v>
      </c>
      <c r="D943" s="1">
        <v>4.4208180275142741</v>
      </c>
      <c r="E943" s="1">
        <v>5.6079969363145468</v>
      </c>
      <c r="F943" s="1">
        <v>-3.635077121011574</v>
      </c>
      <c r="G943" s="1">
        <v>-12.65278795671494</v>
      </c>
    </row>
    <row r="944" spans="2:7" x14ac:dyDescent="0.25">
      <c r="B944" s="1">
        <v>938</v>
      </c>
      <c r="C944" s="1">
        <v>8.1928630592077312</v>
      </c>
      <c r="D944" s="1">
        <v>2.2808926473928559</v>
      </c>
      <c r="E944" s="1">
        <v>2.5895078655025161</v>
      </c>
      <c r="F944" s="1">
        <v>9.1038525202283154</v>
      </c>
      <c r="G944" s="1">
        <v>11.393648905754475</v>
      </c>
    </row>
    <row r="945" spans="2:7" x14ac:dyDescent="0.25">
      <c r="B945" s="1">
        <v>939</v>
      </c>
      <c r="C945" s="1">
        <v>2.19046505150212</v>
      </c>
      <c r="D945" s="1">
        <v>-0.46335923553316016</v>
      </c>
      <c r="E945" s="1">
        <v>-2.1923704509237321</v>
      </c>
      <c r="F945" s="1">
        <v>6.1464666255212448</v>
      </c>
      <c r="G945" s="1">
        <v>12.995361949261524</v>
      </c>
    </row>
    <row r="946" spans="2:7" x14ac:dyDescent="0.25">
      <c r="B946" s="1">
        <v>940</v>
      </c>
      <c r="C946" s="1">
        <v>-1.1959825012612564</v>
      </c>
      <c r="D946" s="1">
        <v>-2.1521049849903195</v>
      </c>
      <c r="E946" s="1">
        <v>8.4720355392099496</v>
      </c>
      <c r="F946" s="1">
        <v>7.866817686933949</v>
      </c>
      <c r="G946" s="1">
        <v>11.445436213665754</v>
      </c>
    </row>
    <row r="947" spans="2:7" x14ac:dyDescent="0.25">
      <c r="B947" s="1">
        <v>941</v>
      </c>
      <c r="C947" s="1">
        <v>2.6967047422524875</v>
      </c>
      <c r="D947" s="1">
        <v>-5.4257810568818412</v>
      </c>
      <c r="E947" s="1">
        <v>14.263768077379856</v>
      </c>
      <c r="F947" s="1">
        <v>14.719283126571769</v>
      </c>
      <c r="G947" s="1">
        <v>-7.8004133372014088</v>
      </c>
    </row>
    <row r="948" spans="2:7" x14ac:dyDescent="0.25">
      <c r="B948" s="1">
        <v>942</v>
      </c>
      <c r="C948" s="1">
        <v>-1.6445218151041301</v>
      </c>
      <c r="D948" s="1">
        <v>4.4996624630400452</v>
      </c>
      <c r="E948" s="1">
        <v>4.7943538222507609</v>
      </c>
      <c r="F948" s="1">
        <v>-0.25029213130379596</v>
      </c>
      <c r="G948" s="1">
        <v>11.163089188542973</v>
      </c>
    </row>
    <row r="949" spans="2:7" x14ac:dyDescent="0.25">
      <c r="B949" s="1">
        <v>943</v>
      </c>
      <c r="C949" s="1">
        <v>8.1071579623886727</v>
      </c>
      <c r="D949" s="1">
        <v>7.7222163262034105</v>
      </c>
      <c r="E949" s="1">
        <v>7.1425829778352217</v>
      </c>
      <c r="F949" s="1">
        <v>12.947392853881579</v>
      </c>
      <c r="G949" s="1">
        <v>3.4623057072202235</v>
      </c>
    </row>
    <row r="950" spans="2:7" x14ac:dyDescent="0.25">
      <c r="B950" s="1">
        <v>944</v>
      </c>
      <c r="C950" s="1">
        <v>5.2921947384412293</v>
      </c>
      <c r="D950" s="1">
        <v>-5.927967459601879</v>
      </c>
      <c r="E950" s="1">
        <v>-0.27059306451961523</v>
      </c>
      <c r="F950" s="1">
        <v>-1.6920440223592892</v>
      </c>
      <c r="G950" s="1">
        <v>-7.4511468750837659</v>
      </c>
    </row>
    <row r="951" spans="2:7" x14ac:dyDescent="0.25">
      <c r="B951" s="1">
        <v>945</v>
      </c>
      <c r="C951" s="1">
        <v>3.9130598156376721</v>
      </c>
      <c r="D951" s="1">
        <v>5.0723620414068558</v>
      </c>
      <c r="E951" s="1">
        <v>6.0104571191826448</v>
      </c>
      <c r="F951" s="1">
        <v>17.169888424469576</v>
      </c>
      <c r="G951" s="1">
        <v>20.3304274311112</v>
      </c>
    </row>
    <row r="952" spans="2:7" x14ac:dyDescent="0.25">
      <c r="B952" s="1">
        <v>946</v>
      </c>
      <c r="C952" s="1">
        <v>4.2698889754746112</v>
      </c>
      <c r="D952" s="1">
        <v>3.9905951774637693</v>
      </c>
      <c r="E952" s="1">
        <v>-6.0049054674323061</v>
      </c>
      <c r="F952" s="1">
        <v>-10.452738249339983</v>
      </c>
      <c r="G952" s="1">
        <v>-2.0286129052867654</v>
      </c>
    </row>
    <row r="953" spans="2:7" x14ac:dyDescent="0.25">
      <c r="B953" s="1">
        <v>947</v>
      </c>
      <c r="C953" s="1">
        <v>2.2275793512296391</v>
      </c>
      <c r="D953" s="1">
        <v>6.4736479552541146</v>
      </c>
      <c r="E953" s="1">
        <v>19.056406195949954</v>
      </c>
      <c r="F953" s="1">
        <v>-9.7778979461581503</v>
      </c>
      <c r="G953" s="1">
        <v>-7.7916614018103809</v>
      </c>
    </row>
    <row r="954" spans="2:7" x14ac:dyDescent="0.25">
      <c r="B954" s="1">
        <v>948</v>
      </c>
      <c r="C954" s="1">
        <v>0.79653480700912294</v>
      </c>
      <c r="D954" s="1">
        <v>7.4099603241015766</v>
      </c>
      <c r="E954" s="1">
        <v>6.0779738754314616</v>
      </c>
      <c r="F954" s="1">
        <v>-4.2461009121129383</v>
      </c>
      <c r="G954" s="1">
        <v>9.0983637173782128</v>
      </c>
    </row>
    <row r="955" spans="2:7" x14ac:dyDescent="0.25">
      <c r="B955" s="1">
        <v>949</v>
      </c>
      <c r="C955" s="1">
        <v>4.3026576776916254</v>
      </c>
      <c r="D955" s="1">
        <v>-1.7731126421759196</v>
      </c>
      <c r="E955" s="1">
        <v>9.5302987964208672</v>
      </c>
      <c r="F955" s="1">
        <v>10.999178794204346</v>
      </c>
      <c r="G955" s="1">
        <v>12.994172195991739</v>
      </c>
    </row>
    <row r="956" spans="2:7" x14ac:dyDescent="0.25">
      <c r="B956" s="1">
        <v>950</v>
      </c>
      <c r="C956" s="1">
        <v>9.0466712815686741</v>
      </c>
      <c r="D956" s="1">
        <v>5.3335577144462771</v>
      </c>
      <c r="E956" s="1">
        <v>11.868180604640774</v>
      </c>
      <c r="F956" s="1">
        <v>1.1811331473254321</v>
      </c>
      <c r="G956" s="1">
        <v>29.879336758509435</v>
      </c>
    </row>
    <row r="957" spans="2:7" x14ac:dyDescent="0.25">
      <c r="B957" s="1">
        <v>951</v>
      </c>
      <c r="C957" s="1">
        <v>4.1554300832532292</v>
      </c>
      <c r="D957" s="1">
        <v>-3.4285310981781341</v>
      </c>
      <c r="E957" s="1">
        <v>5.178694192391835</v>
      </c>
      <c r="F957" s="1">
        <v>13.537476968294017</v>
      </c>
      <c r="G957" s="1">
        <v>13.247406661193994</v>
      </c>
    </row>
    <row r="958" spans="2:7" x14ac:dyDescent="0.25">
      <c r="B958" s="1">
        <v>952</v>
      </c>
      <c r="C958" s="1">
        <v>2.286986654725256</v>
      </c>
      <c r="D958" s="1">
        <v>14.607474724416297</v>
      </c>
      <c r="E958" s="1">
        <v>16.568200098091278</v>
      </c>
      <c r="F958" s="1">
        <v>14.523828751616037</v>
      </c>
      <c r="G958" s="1">
        <v>-7.7339359131700842</v>
      </c>
    </row>
    <row r="959" spans="2:7" x14ac:dyDescent="0.25">
      <c r="B959" s="1">
        <v>953</v>
      </c>
      <c r="C959" s="1">
        <v>3.8483282758128046</v>
      </c>
      <c r="D959" s="1">
        <v>-0.51858476293517075</v>
      </c>
      <c r="E959" s="1">
        <v>-1.1547332326203674</v>
      </c>
      <c r="F959" s="1">
        <v>-8.1960330355733717</v>
      </c>
      <c r="G959" s="1">
        <v>-6.6229463481423627</v>
      </c>
    </row>
    <row r="960" spans="2:7" x14ac:dyDescent="0.25">
      <c r="B960" s="1">
        <v>954</v>
      </c>
      <c r="C960" s="1">
        <v>9.5710350107037758</v>
      </c>
      <c r="D960" s="1">
        <v>9.5694080427596084</v>
      </c>
      <c r="E960" s="1">
        <v>10.089343350112641</v>
      </c>
      <c r="F960" s="1">
        <v>8.5901260728238729</v>
      </c>
      <c r="G960" s="1">
        <v>24.468572565086738</v>
      </c>
    </row>
    <row r="961" spans="2:7" x14ac:dyDescent="0.25">
      <c r="B961" s="1">
        <v>955</v>
      </c>
      <c r="C961" s="1">
        <v>9.2206320104243318</v>
      </c>
      <c r="D961" s="1">
        <v>0.7747456766646339</v>
      </c>
      <c r="E961" s="1">
        <v>14.118540293993009</v>
      </c>
      <c r="F961" s="1">
        <v>16.579901928295527</v>
      </c>
      <c r="G961" s="1">
        <v>-3.6758955638163195</v>
      </c>
    </row>
    <row r="962" spans="2:7" x14ac:dyDescent="0.25">
      <c r="B962" s="1">
        <v>956</v>
      </c>
      <c r="C962" s="1">
        <v>-1.0235345519079346</v>
      </c>
      <c r="D962" s="1">
        <v>6.6739552787811576</v>
      </c>
      <c r="E962" s="1">
        <v>-8.0354661167179628</v>
      </c>
      <c r="F962" s="1">
        <v>2.727688975144436</v>
      </c>
      <c r="G962" s="1">
        <v>-8.297126104772552</v>
      </c>
    </row>
    <row r="963" spans="2:7" x14ac:dyDescent="0.25">
      <c r="B963" s="1">
        <v>957</v>
      </c>
      <c r="C963" s="1">
        <v>2.5364206571479069</v>
      </c>
      <c r="D963" s="1">
        <v>6.8690403785123655</v>
      </c>
      <c r="E963" s="1">
        <v>27.784654237143332</v>
      </c>
      <c r="F963" s="1">
        <v>20.607237367490221</v>
      </c>
      <c r="G963" s="1">
        <v>0.52365446475426836</v>
      </c>
    </row>
    <row r="964" spans="2:7" x14ac:dyDescent="0.25">
      <c r="B964" s="1">
        <v>958</v>
      </c>
      <c r="C964" s="1">
        <v>-2.8106855390499081</v>
      </c>
      <c r="D964" s="1">
        <v>1.9896833482860705</v>
      </c>
      <c r="E964" s="1">
        <v>-11.891347871141512</v>
      </c>
      <c r="F964" s="1">
        <v>-0.77178481655624631</v>
      </c>
      <c r="G964" s="1">
        <v>-5.1866580480549347</v>
      </c>
    </row>
    <row r="965" spans="2:7" x14ac:dyDescent="0.25">
      <c r="B965" s="1">
        <v>959</v>
      </c>
      <c r="C965" s="1">
        <v>0.24586190897290683</v>
      </c>
      <c r="D965" s="1">
        <v>3.2344091929405598</v>
      </c>
      <c r="E965" s="1">
        <v>17.574236632967192</v>
      </c>
      <c r="F965" s="1">
        <v>0.49552690088356699</v>
      </c>
      <c r="G965" s="1">
        <v>19.177854600501828</v>
      </c>
    </row>
    <row r="966" spans="2:7" x14ac:dyDescent="0.25">
      <c r="B966" s="1">
        <v>960</v>
      </c>
      <c r="C966" s="1">
        <v>4.6857763016615728</v>
      </c>
      <c r="D966" s="1">
        <v>-4.066138125185045</v>
      </c>
      <c r="E966" s="1">
        <v>6.8378648640473054</v>
      </c>
      <c r="F966" s="1">
        <v>-4.8962053655353532</v>
      </c>
      <c r="G966" s="1">
        <v>-2.2188613990325621</v>
      </c>
    </row>
    <row r="967" spans="2:7" x14ac:dyDescent="0.25">
      <c r="B967" s="1">
        <v>961</v>
      </c>
      <c r="C967" s="1">
        <v>8.063584557542427</v>
      </c>
      <c r="D967" s="1">
        <v>-2.3310180027440808</v>
      </c>
      <c r="E967" s="1">
        <v>8.0142601871457941</v>
      </c>
      <c r="F967" s="1">
        <v>8.8675442078697451</v>
      </c>
      <c r="G967" s="1">
        <v>5.7420214967608043</v>
      </c>
    </row>
    <row r="968" spans="2:7" x14ac:dyDescent="0.25">
      <c r="B968" s="1">
        <v>962</v>
      </c>
      <c r="C968" s="1">
        <v>1.0739825697436061</v>
      </c>
      <c r="D968" s="1">
        <v>5.1227416239844779</v>
      </c>
      <c r="E968" s="1">
        <v>-5.5350831485792558</v>
      </c>
      <c r="F968" s="1">
        <v>-7.3717106608114991</v>
      </c>
      <c r="G968" s="1">
        <v>-8.8146047788358022</v>
      </c>
    </row>
    <row r="969" spans="2:7" x14ac:dyDescent="0.25">
      <c r="B969" s="1">
        <v>963</v>
      </c>
      <c r="C969" s="1">
        <v>8.021815548405117</v>
      </c>
      <c r="D969" s="1">
        <v>12.376865824043202</v>
      </c>
      <c r="E969" s="1">
        <v>5.0518868441687523</v>
      </c>
      <c r="F969" s="1">
        <v>4.6932733171442234</v>
      </c>
      <c r="G969" s="1">
        <v>24.980279164202102</v>
      </c>
    </row>
    <row r="970" spans="2:7" x14ac:dyDescent="0.25">
      <c r="B970" s="1">
        <v>964</v>
      </c>
      <c r="C970" s="1">
        <v>-1.9839113276264859</v>
      </c>
      <c r="D970" s="1">
        <v>5.663299308505974</v>
      </c>
      <c r="E970" s="1">
        <v>-3.7243542804388814</v>
      </c>
      <c r="F970" s="1">
        <v>-10.978765567627406</v>
      </c>
      <c r="G970" s="1">
        <v>22.821536857798428</v>
      </c>
    </row>
    <row r="971" spans="2:7" x14ac:dyDescent="0.25">
      <c r="B971" s="1">
        <v>965</v>
      </c>
      <c r="C971" s="1">
        <v>3.9920271826549536</v>
      </c>
      <c r="D971" s="1">
        <v>3.9370617272509243</v>
      </c>
      <c r="E971" s="1">
        <v>9.2805861144044108</v>
      </c>
      <c r="F971" s="1">
        <v>19.143119971423072</v>
      </c>
      <c r="G971" s="1">
        <v>3.4186616305161892</v>
      </c>
    </row>
    <row r="972" spans="2:7" x14ac:dyDescent="0.25">
      <c r="B972" s="1">
        <v>966</v>
      </c>
      <c r="C972" s="1">
        <v>1.9653070849674563</v>
      </c>
      <c r="D972" s="1">
        <v>-0.2237127586359218</v>
      </c>
      <c r="E972" s="1">
        <v>14.347613710216796</v>
      </c>
      <c r="F972" s="1">
        <v>3.0774545285579928</v>
      </c>
      <c r="G972" s="1">
        <v>4.9382278507213284</v>
      </c>
    </row>
    <row r="973" spans="2:7" x14ac:dyDescent="0.25">
      <c r="B973" s="1">
        <v>967</v>
      </c>
      <c r="C973" s="1">
        <v>-0.53415345649091517</v>
      </c>
      <c r="D973" s="1">
        <v>-0.18213813294205944</v>
      </c>
      <c r="E973" s="1">
        <v>7.1193600558542984</v>
      </c>
      <c r="F973" s="1">
        <v>-6.8923677912306047</v>
      </c>
      <c r="G973" s="1">
        <v>8.4879695932122861</v>
      </c>
    </row>
    <row r="974" spans="2:7" x14ac:dyDescent="0.25">
      <c r="B974" s="1">
        <v>968</v>
      </c>
      <c r="C974" s="1">
        <v>-2.3415448513248576</v>
      </c>
      <c r="D974" s="1">
        <v>5.1210427733105446</v>
      </c>
      <c r="E974" s="1">
        <v>5.6389734871997756</v>
      </c>
      <c r="F974" s="1">
        <v>0.22067159231835104</v>
      </c>
      <c r="G974" s="1">
        <v>-0.52863937034944086</v>
      </c>
    </row>
    <row r="975" spans="2:7" x14ac:dyDescent="0.25">
      <c r="B975" s="1">
        <v>969</v>
      </c>
      <c r="C975" s="1">
        <v>3.7900161177954566</v>
      </c>
      <c r="D975" s="1">
        <v>9.3384668324455564</v>
      </c>
      <c r="E975" s="1">
        <v>8.640641223450201</v>
      </c>
      <c r="F975" s="1">
        <v>13.096794060094261</v>
      </c>
      <c r="G975" s="1">
        <v>14.130205836000201</v>
      </c>
    </row>
    <row r="976" spans="2:7" x14ac:dyDescent="0.25">
      <c r="B976" s="1">
        <v>970</v>
      </c>
      <c r="C976" s="1">
        <v>3.9106281975888066</v>
      </c>
      <c r="D976" s="1">
        <v>2.133483707621183</v>
      </c>
      <c r="E976" s="1">
        <v>5.6022122309545441</v>
      </c>
      <c r="F976" s="1">
        <v>13.370653396827729</v>
      </c>
      <c r="G976" s="1">
        <v>19.718375378645451</v>
      </c>
    </row>
    <row r="977" spans="2:7" x14ac:dyDescent="0.25">
      <c r="B977" s="1">
        <v>971</v>
      </c>
      <c r="C977" s="1">
        <v>-3.0705778059355779</v>
      </c>
      <c r="D977" s="1">
        <v>2.9745449821373366</v>
      </c>
      <c r="E977" s="1">
        <v>3.622694181058602</v>
      </c>
      <c r="F977" s="1">
        <v>4.2026797817365811</v>
      </c>
      <c r="G977" s="1">
        <v>11.717933993365669</v>
      </c>
    </row>
    <row r="978" spans="2:7" x14ac:dyDescent="0.25">
      <c r="B978" s="1">
        <v>972</v>
      </c>
      <c r="C978" s="1">
        <v>1.6576149740379524</v>
      </c>
      <c r="D978" s="1">
        <v>-5.4410879492972537</v>
      </c>
      <c r="E978" s="1">
        <v>-1.1325620870103346</v>
      </c>
      <c r="F978" s="1">
        <v>19.461249433110815</v>
      </c>
      <c r="G978" s="1">
        <v>-9.223320143234778</v>
      </c>
    </row>
    <row r="979" spans="2:7" x14ac:dyDescent="0.25">
      <c r="B979" s="1">
        <v>973</v>
      </c>
      <c r="C979" s="1">
        <v>1.0424051365089642</v>
      </c>
      <c r="D979" s="1">
        <v>8.1707468008792183</v>
      </c>
      <c r="E979" s="1">
        <v>5.712020939771012</v>
      </c>
      <c r="F979" s="1">
        <v>1.6029169089574633</v>
      </c>
      <c r="G979" s="1">
        <v>8.3472086387749975</v>
      </c>
    </row>
    <row r="980" spans="2:7" x14ac:dyDescent="0.25">
      <c r="B980" s="1">
        <v>974</v>
      </c>
      <c r="C980" s="1">
        <v>2.6774009279288711</v>
      </c>
      <c r="D980" s="1">
        <v>4.9334257399435177</v>
      </c>
      <c r="E980" s="1">
        <v>-1.934474075604671</v>
      </c>
      <c r="F980" s="1">
        <v>20.336552713148603</v>
      </c>
      <c r="G980" s="1">
        <v>17.633267005370101</v>
      </c>
    </row>
    <row r="981" spans="2:7" x14ac:dyDescent="0.25">
      <c r="B981" s="1">
        <v>975</v>
      </c>
      <c r="C981" s="1">
        <v>1.3771552818185342</v>
      </c>
      <c r="D981" s="1">
        <v>3.6764822409039914</v>
      </c>
      <c r="E981" s="1">
        <v>3.8757045977421964</v>
      </c>
      <c r="F981" s="1">
        <v>9.029750988662288</v>
      </c>
      <c r="G981" s="1">
        <v>0.39296001026461974</v>
      </c>
    </row>
    <row r="982" spans="2:7" x14ac:dyDescent="0.25">
      <c r="B982" s="1">
        <v>976</v>
      </c>
      <c r="C982" s="1">
        <v>4.6173260683656512</v>
      </c>
      <c r="D982" s="1">
        <v>6.4565435603833548</v>
      </c>
      <c r="E982" s="1">
        <v>4.3086865292949277</v>
      </c>
      <c r="F982" s="1">
        <v>4.07426587279926</v>
      </c>
      <c r="G982" s="1">
        <v>15.432079063782973</v>
      </c>
    </row>
    <row r="983" spans="2:7" x14ac:dyDescent="0.25">
      <c r="B983" s="1">
        <v>977</v>
      </c>
      <c r="C983" s="1">
        <v>2.2949610344021352</v>
      </c>
      <c r="D983" s="1">
        <v>-4.6863552013859913</v>
      </c>
      <c r="E983" s="1">
        <v>8.2969334509850992</v>
      </c>
      <c r="F983" s="1">
        <v>2.2266505894528215</v>
      </c>
      <c r="G983" s="1">
        <v>-3.3969488086565853</v>
      </c>
    </row>
    <row r="984" spans="2:7" x14ac:dyDescent="0.25">
      <c r="B984" s="1">
        <v>978</v>
      </c>
      <c r="C984" s="1">
        <v>9.6999447060711734</v>
      </c>
      <c r="D984" s="1">
        <v>9.2926800270741374</v>
      </c>
      <c r="E984" s="1">
        <v>10.063327170135075</v>
      </c>
      <c r="F984" s="1">
        <v>18.55868502938764</v>
      </c>
      <c r="G984" s="1">
        <v>8.6506976101866684</v>
      </c>
    </row>
    <row r="985" spans="2:7" x14ac:dyDescent="0.25">
      <c r="B985" s="1">
        <v>979</v>
      </c>
      <c r="C985" s="1">
        <v>8.5443253493802942</v>
      </c>
      <c r="D985" s="1">
        <v>1.4370992548262091</v>
      </c>
      <c r="E985" s="1">
        <v>7.7372583659458982</v>
      </c>
      <c r="F985" s="1">
        <v>4.3388225885710385</v>
      </c>
      <c r="G985" s="1">
        <v>1.4746735466136018</v>
      </c>
    </row>
    <row r="986" spans="2:7" x14ac:dyDescent="0.25">
      <c r="B986" s="1">
        <v>980</v>
      </c>
      <c r="C986" s="1">
        <v>4.1101362645267958</v>
      </c>
      <c r="D986" s="1">
        <v>2.0053622147666843</v>
      </c>
      <c r="E986" s="1">
        <v>1.4092766679669799</v>
      </c>
      <c r="F986" s="1">
        <v>4.6928463996375269</v>
      </c>
      <c r="G986" s="1">
        <v>20.33330576398901</v>
      </c>
    </row>
    <row r="987" spans="2:7" x14ac:dyDescent="0.25">
      <c r="B987" s="1">
        <v>981</v>
      </c>
      <c r="C987" s="1">
        <v>2.5080757953103108</v>
      </c>
      <c r="D987" s="1">
        <v>-3.289908916860464</v>
      </c>
      <c r="E987" s="1">
        <v>3.153651390872767</v>
      </c>
      <c r="F987" s="1">
        <v>14.652874168416872</v>
      </c>
      <c r="G987" s="1">
        <v>-3.7881980700975642</v>
      </c>
    </row>
    <row r="988" spans="2:7" x14ac:dyDescent="0.25">
      <c r="B988" s="1">
        <v>982</v>
      </c>
      <c r="C988" s="1">
        <v>2.9878792125927687</v>
      </c>
      <c r="D988" s="1">
        <v>5.6961866933519767</v>
      </c>
      <c r="E988" s="1">
        <v>1.9575054502955105</v>
      </c>
      <c r="F988" s="1">
        <v>5.4548434703423316</v>
      </c>
      <c r="G988" s="1">
        <v>-15.466481798952199</v>
      </c>
    </row>
    <row r="989" spans="2:7" x14ac:dyDescent="0.25">
      <c r="B989" s="1">
        <v>983</v>
      </c>
      <c r="C989" s="1">
        <v>3.2382266529139954</v>
      </c>
      <c r="D989" s="1">
        <v>2.6883719736250558</v>
      </c>
      <c r="E989" s="1">
        <v>7.978739278054837</v>
      </c>
      <c r="F989" s="1">
        <v>-0.38178767090397214</v>
      </c>
      <c r="G989" s="1">
        <v>5.2893655661360883</v>
      </c>
    </row>
    <row r="990" spans="2:7" x14ac:dyDescent="0.25">
      <c r="B990" s="1">
        <v>984</v>
      </c>
      <c r="C990" s="1">
        <v>-1.2763782038392462</v>
      </c>
      <c r="D990" s="1">
        <v>-1.1478518515874034</v>
      </c>
      <c r="E990" s="1">
        <v>1.7201702490051223</v>
      </c>
      <c r="F990" s="1">
        <v>-1.9635274713051465</v>
      </c>
      <c r="G990" s="1">
        <v>9.3276617329066553</v>
      </c>
    </row>
    <row r="991" spans="2:7" x14ac:dyDescent="0.25">
      <c r="B991" s="1">
        <v>985</v>
      </c>
      <c r="C991" s="1">
        <v>1.1195841450258825</v>
      </c>
      <c r="D991" s="1">
        <v>4.7029822221609736</v>
      </c>
      <c r="E991" s="1">
        <v>7.1439582926797236</v>
      </c>
      <c r="F991" s="1">
        <v>5.2568275240211788</v>
      </c>
      <c r="G991" s="1">
        <v>16.10667169953663</v>
      </c>
    </row>
    <row r="992" spans="2:7" x14ac:dyDescent="0.25">
      <c r="B992" s="1">
        <v>986</v>
      </c>
      <c r="C992" s="1">
        <v>1.4909190254661704</v>
      </c>
      <c r="D992" s="1">
        <v>4.700847426289001</v>
      </c>
      <c r="E992" s="1">
        <v>-7.7358548607663682</v>
      </c>
      <c r="F992" s="1">
        <v>21.820717124753703</v>
      </c>
      <c r="G992" s="1">
        <v>21.826971726256957</v>
      </c>
    </row>
    <row r="993" spans="2:7" x14ac:dyDescent="0.25">
      <c r="B993" s="1">
        <v>987</v>
      </c>
      <c r="C993" s="1">
        <v>2.3377217614773595</v>
      </c>
      <c r="D993" s="1">
        <v>4.777750743660051</v>
      </c>
      <c r="E993" s="1">
        <v>1.562681320202735</v>
      </c>
      <c r="F993" s="1">
        <v>5.3799037842669239</v>
      </c>
      <c r="G993" s="1">
        <v>10.538186023097692</v>
      </c>
    </row>
    <row r="994" spans="2:7" x14ac:dyDescent="0.25">
      <c r="B994" s="1">
        <v>988</v>
      </c>
      <c r="C994" s="1">
        <v>2.1900361108781312</v>
      </c>
      <c r="D994" s="1">
        <v>10.737885114351664</v>
      </c>
      <c r="E994" s="1">
        <v>7.7310810979712485</v>
      </c>
      <c r="F994" s="1">
        <v>8.3707995294030084</v>
      </c>
      <c r="G994" s="1">
        <v>-2.9447423395355363</v>
      </c>
    </row>
    <row r="995" spans="2:7" x14ac:dyDescent="0.25">
      <c r="B995" s="1">
        <v>989</v>
      </c>
      <c r="C995" s="1">
        <v>1.1498831221681116</v>
      </c>
      <c r="D995" s="1">
        <v>-2.594973876230692</v>
      </c>
      <c r="E995" s="1">
        <v>13.378764356973793</v>
      </c>
      <c r="F995" s="1">
        <v>-6.2339790694247359</v>
      </c>
      <c r="G995" s="1">
        <v>5.7121941035831227</v>
      </c>
    </row>
    <row r="996" spans="2:7" x14ac:dyDescent="0.25">
      <c r="B996" s="1">
        <v>990</v>
      </c>
      <c r="C996" s="1">
        <v>2.1758679972124453</v>
      </c>
      <c r="D996" s="1">
        <v>5.3269155929885619</v>
      </c>
      <c r="E996" s="1">
        <v>-3.0369109500517042</v>
      </c>
      <c r="F996" s="1">
        <v>14.388524580152051</v>
      </c>
      <c r="G996" s="1">
        <v>-1.7188782976673249</v>
      </c>
    </row>
    <row r="997" spans="2:7" x14ac:dyDescent="0.25">
      <c r="B997" s="1">
        <v>991</v>
      </c>
      <c r="C997" s="1">
        <v>3.1750392062806565</v>
      </c>
      <c r="D997" s="1">
        <v>1.7961769265048897</v>
      </c>
      <c r="E997" s="1">
        <v>-4.786137669540989</v>
      </c>
      <c r="F997" s="1">
        <v>12.167200439713302</v>
      </c>
      <c r="G997" s="1">
        <v>19.426042539938376</v>
      </c>
    </row>
    <row r="998" spans="2:7" x14ac:dyDescent="0.25">
      <c r="B998" s="1">
        <v>992</v>
      </c>
      <c r="C998" s="1">
        <v>-3.1567327053885439</v>
      </c>
      <c r="D998" s="1">
        <v>0.1299076463699301</v>
      </c>
      <c r="E998" s="1">
        <v>-3.575533000962372</v>
      </c>
      <c r="F998" s="1">
        <v>17.694177848928806</v>
      </c>
      <c r="G998" s="1">
        <v>-8.7064993355344473</v>
      </c>
    </row>
    <row r="999" spans="2:7" x14ac:dyDescent="0.25">
      <c r="B999" s="1">
        <v>993</v>
      </c>
      <c r="C999" s="1">
        <v>8.2548701840950223</v>
      </c>
      <c r="D999" s="1">
        <v>0.22584023968404907</v>
      </c>
      <c r="E999" s="1">
        <v>5.8439070381012579</v>
      </c>
      <c r="F999" s="1">
        <v>10.370046459900976</v>
      </c>
      <c r="G999" s="1">
        <v>24.585486394340986</v>
      </c>
    </row>
    <row r="1000" spans="2:7" x14ac:dyDescent="0.25">
      <c r="B1000" s="1">
        <v>994</v>
      </c>
      <c r="C1000" s="1">
        <v>7.138838333850833</v>
      </c>
      <c r="D1000" s="1">
        <v>18.097571011201342</v>
      </c>
      <c r="E1000" s="1">
        <v>15.18464438970617</v>
      </c>
      <c r="F1000" s="1">
        <v>7.9986252714553965</v>
      </c>
      <c r="G1000" s="1">
        <v>27.152765771598869</v>
      </c>
    </row>
    <row r="1001" spans="2:7" x14ac:dyDescent="0.25">
      <c r="B1001" s="1">
        <v>995</v>
      </c>
      <c r="C1001" s="1">
        <v>4.5248702913284324</v>
      </c>
      <c r="D1001" s="1">
        <v>11.661442848884834</v>
      </c>
      <c r="E1001" s="1">
        <v>10.55472816820766</v>
      </c>
      <c r="F1001" s="1">
        <v>32.112160997161347</v>
      </c>
      <c r="G1001" s="1">
        <v>11.916152652845257</v>
      </c>
    </row>
    <row r="1002" spans="2:7" x14ac:dyDescent="0.25">
      <c r="B1002" s="1">
        <v>996</v>
      </c>
      <c r="C1002" s="1">
        <v>5.4259213241128403</v>
      </c>
      <c r="D1002" s="1">
        <v>1.6291901101254269</v>
      </c>
      <c r="E1002" s="1">
        <v>-5.1662897133285108</v>
      </c>
      <c r="F1002" s="1">
        <v>-0.73115850246166192</v>
      </c>
      <c r="G1002" s="1">
        <v>13.218677742027657</v>
      </c>
    </row>
    <row r="1003" spans="2:7" x14ac:dyDescent="0.25">
      <c r="B1003" s="1">
        <v>997</v>
      </c>
      <c r="C1003" s="1">
        <v>2.3888547296565901</v>
      </c>
      <c r="D1003" s="1">
        <v>0.41787476512961536</v>
      </c>
      <c r="E1003" s="1">
        <v>-8.6810898043582583</v>
      </c>
      <c r="F1003" s="1">
        <v>-3.2227333796226008</v>
      </c>
      <c r="G1003" s="1">
        <v>-1.7311555546827897</v>
      </c>
    </row>
    <row r="1004" spans="2:7" x14ac:dyDescent="0.25">
      <c r="B1004" s="1">
        <v>998</v>
      </c>
      <c r="C1004" s="1">
        <v>4.6910460400424068</v>
      </c>
      <c r="D1004" s="1">
        <v>13.247722003754339</v>
      </c>
      <c r="E1004" s="1">
        <v>5.9124964406011342</v>
      </c>
      <c r="F1004" s="1">
        <v>21.045642956039103</v>
      </c>
      <c r="G1004" s="1">
        <v>10.175485060981432</v>
      </c>
    </row>
    <row r="1005" spans="2:7" x14ac:dyDescent="0.25">
      <c r="B1005" s="1">
        <v>999</v>
      </c>
      <c r="C1005" s="1">
        <v>5.9191175688552482</v>
      </c>
      <c r="D1005" s="1">
        <v>4.8195673805444379</v>
      </c>
      <c r="E1005" s="1">
        <v>-2.5616903752753215</v>
      </c>
      <c r="F1005" s="1">
        <v>-13.231846535543506</v>
      </c>
      <c r="G1005" s="1">
        <v>14.184881796813292</v>
      </c>
    </row>
    <row r="1006" spans="2:7" x14ac:dyDescent="0.25">
      <c r="B1006" s="1">
        <v>1000</v>
      </c>
      <c r="C1006" s="1">
        <v>8.384122880666089</v>
      </c>
      <c r="D1006" s="1">
        <v>18.11640327511677</v>
      </c>
      <c r="E1006" s="1">
        <v>12.99685800270799</v>
      </c>
      <c r="F1006" s="1">
        <v>7.2371610274844675</v>
      </c>
      <c r="G1006" s="1">
        <v>3.530967429521124</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theme="5" tint="0.59999389629810485"/>
  </sheetPr>
  <dimension ref="B1:M55"/>
  <sheetViews>
    <sheetView zoomScale="80" zoomScaleNormal="80" workbookViewId="0">
      <selection activeCell="G27" sqref="G27"/>
    </sheetView>
  </sheetViews>
  <sheetFormatPr defaultColWidth="9.109375" defaultRowHeight="14.4" x14ac:dyDescent="0.3"/>
  <cols>
    <col min="1" max="1" width="9.109375" style="1"/>
    <col min="2" max="2" width="11.5546875" style="11" customWidth="1"/>
    <col min="3" max="3" width="41.6640625" style="11" customWidth="1"/>
    <col min="4" max="12" width="9.109375" style="1"/>
    <col min="13" max="13" width="9.109375" style="5"/>
    <col min="14" max="22" width="9.109375" style="1"/>
    <col min="23" max="23" width="18.33203125" style="1" customWidth="1"/>
    <col min="24" max="16384" width="9.109375" style="1"/>
  </cols>
  <sheetData>
    <row r="1" spans="2:13" x14ac:dyDescent="0.3">
      <c r="B1" s="3" t="s">
        <v>330</v>
      </c>
    </row>
    <row r="4" spans="2:13" s="14" customFormat="1" x14ac:dyDescent="0.3">
      <c r="B4" s="16" t="s">
        <v>328</v>
      </c>
      <c r="C4" s="16"/>
      <c r="M4" s="17"/>
    </row>
    <row r="5" spans="2:13" x14ac:dyDescent="0.3">
      <c r="D5" s="1" t="s">
        <v>348</v>
      </c>
      <c r="E5" s="1" t="s">
        <v>349</v>
      </c>
      <c r="F5" s="1" t="s">
        <v>350</v>
      </c>
      <c r="G5" s="1" t="s">
        <v>351</v>
      </c>
      <c r="H5" s="1" t="s">
        <v>352</v>
      </c>
      <c r="M5" s="13" t="s">
        <v>15</v>
      </c>
    </row>
    <row r="6" spans="2:13" x14ac:dyDescent="0.3">
      <c r="C6" s="11" t="s">
        <v>329</v>
      </c>
      <c r="D6" s="2">
        <v>100</v>
      </c>
      <c r="E6" s="2">
        <v>100</v>
      </c>
      <c r="F6" s="2">
        <v>100</v>
      </c>
      <c r="G6" s="2">
        <v>100</v>
      </c>
      <c r="H6" s="2">
        <v>100</v>
      </c>
      <c r="I6" s="2"/>
      <c r="M6" s="5" t="s">
        <v>355</v>
      </c>
    </row>
    <row r="7" spans="2:13" x14ac:dyDescent="0.3">
      <c r="D7" s="8"/>
      <c r="E7" s="8"/>
      <c r="F7" s="8"/>
      <c r="G7" s="8"/>
      <c r="H7" s="8"/>
      <c r="I7" s="8"/>
      <c r="M7" s="4"/>
    </row>
    <row r="9" spans="2:13" s="14" customFormat="1" x14ac:dyDescent="0.3">
      <c r="B9" s="16" t="s">
        <v>332</v>
      </c>
      <c r="C9" s="16"/>
      <c r="M9" s="17"/>
    </row>
    <row r="10" spans="2:13" x14ac:dyDescent="0.3">
      <c r="B10" s="11">
        <v>2</v>
      </c>
      <c r="C10" s="11" t="s">
        <v>184</v>
      </c>
      <c r="D10" s="1" t="str">
        <f>Outputs!K5</f>
        <v>Year+0</v>
      </c>
      <c r="E10" s="1" t="str">
        <f>Outputs!L5</f>
        <v>Year+1</v>
      </c>
      <c r="F10" s="1" t="str">
        <f>Outputs!M5</f>
        <v>Year+2</v>
      </c>
      <c r="G10" s="1" t="str">
        <f>Outputs!N5</f>
        <v>Year+3</v>
      </c>
      <c r="H10" s="1" t="s">
        <v>352</v>
      </c>
    </row>
    <row r="11" spans="2:13" x14ac:dyDescent="0.3">
      <c r="C11" s="15" t="s">
        <v>303</v>
      </c>
      <c r="D11" s="1">
        <f>Outputs!K6</f>
        <v>3.2041003596150284</v>
      </c>
      <c r="E11" s="1">
        <f>Outputs!L6</f>
        <v>3.9113535434080058</v>
      </c>
      <c r="F11" s="1">
        <f>Outputs!M6</f>
        <v>4.4750491985494216</v>
      </c>
      <c r="G11" s="1">
        <f>Outputs!N6</f>
        <v>5.165442252683949</v>
      </c>
      <c r="H11" s="1">
        <f>Outputs!O6</f>
        <v>5.1555842098453208</v>
      </c>
    </row>
    <row r="12" spans="2:13" x14ac:dyDescent="0.3">
      <c r="C12" s="15" t="s">
        <v>305</v>
      </c>
      <c r="D12" s="1">
        <f>Outputs!K7</f>
        <v>3.1162467488366752</v>
      </c>
      <c r="E12" s="1">
        <f>Outputs!L7</f>
        <v>5.0247053346152688</v>
      </c>
      <c r="F12" s="1">
        <f>Outputs!M7</f>
        <v>7.0888640453199692</v>
      </c>
      <c r="G12" s="1">
        <f>Outputs!N7</f>
        <v>9.0107288968401331</v>
      </c>
      <c r="H12" s="1">
        <f>Outputs!O7</f>
        <v>11.83878510265205</v>
      </c>
    </row>
    <row r="13" spans="2:13" x14ac:dyDescent="0.3">
      <c r="C13" s="3"/>
    </row>
    <row r="14" spans="2:13" x14ac:dyDescent="0.3">
      <c r="C14" s="3"/>
      <c r="D14" s="1" t="s">
        <v>348</v>
      </c>
      <c r="E14" s="1" t="s">
        <v>349</v>
      </c>
      <c r="F14" s="1" t="s">
        <v>350</v>
      </c>
      <c r="G14" s="1" t="s">
        <v>351</v>
      </c>
      <c r="H14" s="1" t="s">
        <v>352</v>
      </c>
    </row>
    <row r="15" spans="2:13" x14ac:dyDescent="0.3">
      <c r="C15" s="12">
        <v>0.05</v>
      </c>
      <c r="D15" s="2">
        <f>_xlfn.NORM.INV($C15,D$11,D$12)</f>
        <v>-1.9216694076847118</v>
      </c>
      <c r="E15" s="2">
        <f t="shared" ref="E15:H19" si="0">_xlfn.NORM.INV($C15,E$11,E$12)</f>
        <v>-4.3535512505963316</v>
      </c>
      <c r="F15" s="2">
        <f t="shared" si="0"/>
        <v>-7.1850945373610182</v>
      </c>
      <c r="G15" s="2">
        <f t="shared" si="0"/>
        <v>-9.6558878547599853</v>
      </c>
      <c r="H15" s="2">
        <f t="shared" si="0"/>
        <v>-14.317484404950966</v>
      </c>
      <c r="I15" s="2"/>
    </row>
    <row r="16" spans="2:13" x14ac:dyDescent="0.3">
      <c r="C16" s="12">
        <v>0.25</v>
      </c>
      <c r="D16" s="2">
        <f>_xlfn.NORM.INV($C16,D$11,D$12)</f>
        <v>1.1022238684428269</v>
      </c>
      <c r="E16" s="2">
        <f t="shared" si="0"/>
        <v>0.52224129745443282</v>
      </c>
      <c r="F16" s="2">
        <f t="shared" si="0"/>
        <v>-0.3063169405524313</v>
      </c>
      <c r="G16" s="2">
        <f t="shared" si="0"/>
        <v>-0.91220203003036904</v>
      </c>
      <c r="H16" s="2">
        <f t="shared" si="0"/>
        <v>-2.8295549966675564</v>
      </c>
      <c r="I16" s="2"/>
    </row>
    <row r="17" spans="2:13" ht="13.8" x14ac:dyDescent="0.25">
      <c r="C17" s="12">
        <v>0.5</v>
      </c>
      <c r="D17" s="2">
        <f>_xlfn.NORM.INV($C17,D$11,D$12)</f>
        <v>3.2041003596150284</v>
      </c>
      <c r="E17" s="2">
        <f t="shared" si="0"/>
        <v>3.9113535434080058</v>
      </c>
      <c r="F17" s="2">
        <f t="shared" si="0"/>
        <v>4.4750491985494216</v>
      </c>
      <c r="G17" s="2">
        <f t="shared" si="0"/>
        <v>5.165442252683949</v>
      </c>
      <c r="H17" s="2">
        <f t="shared" si="0"/>
        <v>5.1555842098453208</v>
      </c>
      <c r="I17" s="2"/>
      <c r="M17" s="1"/>
    </row>
    <row r="18" spans="2:13" ht="13.8" x14ac:dyDescent="0.25">
      <c r="C18" s="12">
        <v>0.75</v>
      </c>
      <c r="D18" s="2">
        <f>_xlfn.NORM.INV($C18,D$11,D$12)</f>
        <v>5.3059768507872302</v>
      </c>
      <c r="E18" s="2">
        <f t="shared" si="0"/>
        <v>7.3004657893615788</v>
      </c>
      <c r="F18" s="2">
        <f t="shared" si="0"/>
        <v>9.2564153376512746</v>
      </c>
      <c r="G18" s="2">
        <f t="shared" si="0"/>
        <v>11.243086535398266</v>
      </c>
      <c r="H18" s="2">
        <f t="shared" si="0"/>
        <v>13.140723416358199</v>
      </c>
      <c r="I18" s="2"/>
      <c r="M18" s="1"/>
    </row>
    <row r="19" spans="2:13" ht="13.8" x14ac:dyDescent="0.25">
      <c r="C19" s="12">
        <v>0.95</v>
      </c>
      <c r="D19" s="2">
        <f>_xlfn.NORM.INV($C19,D$11,D$12)</f>
        <v>8.3298701269147646</v>
      </c>
      <c r="E19" s="2">
        <f t="shared" si="0"/>
        <v>12.176258337412339</v>
      </c>
      <c r="F19" s="2">
        <f t="shared" si="0"/>
        <v>16.135192934459855</v>
      </c>
      <c r="G19" s="2">
        <f t="shared" si="0"/>
        <v>19.986772360127873</v>
      </c>
      <c r="H19" s="2">
        <f t="shared" si="0"/>
        <v>24.628652824641591</v>
      </c>
      <c r="I19" s="2"/>
      <c r="M19" s="1"/>
    </row>
    <row r="20" spans="2:13" ht="13.8" x14ac:dyDescent="0.25">
      <c r="C20" s="12"/>
      <c r="D20" s="2"/>
      <c r="E20" s="2"/>
      <c r="F20" s="2"/>
      <c r="G20" s="2"/>
      <c r="H20" s="2"/>
      <c r="I20" s="2"/>
      <c r="M20" s="1"/>
    </row>
    <row r="21" spans="2:13" x14ac:dyDescent="0.3">
      <c r="B21" s="15">
        <v>3</v>
      </c>
      <c r="C21" s="11" t="s">
        <v>17</v>
      </c>
      <c r="D21" s="1" t="s">
        <v>348</v>
      </c>
      <c r="E21" s="1" t="s">
        <v>349</v>
      </c>
      <c r="F21" s="1" t="s">
        <v>350</v>
      </c>
      <c r="G21" s="1" t="s">
        <v>351</v>
      </c>
      <c r="H21" s="1" t="s">
        <v>352</v>
      </c>
    </row>
    <row r="22" spans="2:13" x14ac:dyDescent="0.3">
      <c r="D22" s="2">
        <f t="shared" ref="D22:G22" si="1">D15</f>
        <v>-1.9216694076847118</v>
      </c>
      <c r="E22" s="2">
        <f t="shared" si="1"/>
        <v>-4.3535512505963316</v>
      </c>
      <c r="F22" s="2">
        <f t="shared" si="1"/>
        <v>-7.1850945373610182</v>
      </c>
      <c r="G22" s="2">
        <f t="shared" si="1"/>
        <v>-9.6558878547599853</v>
      </c>
      <c r="H22" s="2">
        <f t="shared" ref="H22" si="2">H15</f>
        <v>-14.317484404950966</v>
      </c>
      <c r="I22" s="9"/>
      <c r="J22" s="10"/>
    </row>
    <row r="23" spans="2:13" x14ac:dyDescent="0.3">
      <c r="D23" s="2">
        <f t="shared" ref="D23:G23" si="3">D16-D15</f>
        <v>3.0238932761275388</v>
      </c>
      <c r="E23" s="2">
        <f t="shared" si="3"/>
        <v>4.8757925480507645</v>
      </c>
      <c r="F23" s="2">
        <f t="shared" si="3"/>
        <v>6.8787775968085869</v>
      </c>
      <c r="G23" s="2">
        <f t="shared" si="3"/>
        <v>8.7436858247296172</v>
      </c>
      <c r="H23" s="2">
        <f t="shared" ref="H23" si="4">H16-H15</f>
        <v>11.48792940828341</v>
      </c>
      <c r="I23" s="9"/>
    </row>
    <row r="24" spans="2:13" x14ac:dyDescent="0.3">
      <c r="D24" s="2">
        <f t="shared" ref="D24:G24" si="5">D17-D16</f>
        <v>2.1018764911722014</v>
      </c>
      <c r="E24" s="2">
        <f t="shared" si="5"/>
        <v>3.389112245953573</v>
      </c>
      <c r="F24" s="2">
        <f t="shared" si="5"/>
        <v>4.7813661391018529</v>
      </c>
      <c r="G24" s="2">
        <f t="shared" si="5"/>
        <v>6.077644282714318</v>
      </c>
      <c r="H24" s="2">
        <f t="shared" ref="H24" si="6">H17-H16</f>
        <v>7.9851392065128772</v>
      </c>
    </row>
    <row r="25" spans="2:13" x14ac:dyDescent="0.3">
      <c r="D25" s="2">
        <f t="shared" ref="D25:G25" si="7">D18-D17</f>
        <v>2.1018764911722019</v>
      </c>
      <c r="E25" s="2">
        <f t="shared" si="7"/>
        <v>3.389112245953573</v>
      </c>
      <c r="F25" s="2">
        <f t="shared" si="7"/>
        <v>4.7813661391018529</v>
      </c>
      <c r="G25" s="2">
        <f t="shared" si="7"/>
        <v>6.0776442827143171</v>
      </c>
      <c r="H25" s="2">
        <f t="shared" ref="H25" si="8">H18-H17</f>
        <v>7.9851392065128781</v>
      </c>
    </row>
    <row r="26" spans="2:13" x14ac:dyDescent="0.3">
      <c r="D26" s="2">
        <f t="shared" ref="D26:G26" si="9">D19-D18</f>
        <v>3.0238932761275343</v>
      </c>
      <c r="E26" s="2">
        <f t="shared" si="9"/>
        <v>4.87579254805076</v>
      </c>
      <c r="F26" s="2">
        <f t="shared" si="9"/>
        <v>6.8787775968085807</v>
      </c>
      <c r="G26" s="2">
        <f t="shared" si="9"/>
        <v>8.7436858247296065</v>
      </c>
      <c r="H26" s="2">
        <f t="shared" ref="H26" si="10">H19-H18</f>
        <v>11.487929408283392</v>
      </c>
      <c r="I26" s="2"/>
    </row>
    <row r="27" spans="2:13" x14ac:dyDescent="0.3">
      <c r="C27" s="15"/>
      <c r="I27" s="2"/>
    </row>
    <row r="28" spans="2:13" x14ac:dyDescent="0.3">
      <c r="I28" s="2"/>
    </row>
    <row r="29" spans="2:13" x14ac:dyDescent="0.3">
      <c r="B29" s="11">
        <v>4</v>
      </c>
      <c r="C29" s="3" t="s">
        <v>354</v>
      </c>
      <c r="D29" s="1" t="s">
        <v>348</v>
      </c>
      <c r="E29" s="1" t="s">
        <v>349</v>
      </c>
      <c r="F29" s="1" t="s">
        <v>350</v>
      </c>
      <c r="G29" s="1" t="s">
        <v>351</v>
      </c>
      <c r="H29" s="1" t="s">
        <v>352</v>
      </c>
      <c r="I29" s="2"/>
    </row>
    <row r="30" spans="2:13" x14ac:dyDescent="0.3">
      <c r="C30" s="12">
        <v>0.05</v>
      </c>
      <c r="D30" s="2">
        <f t="shared" ref="D30:G30" si="11">D$6+D15</f>
        <v>98.078330592315282</v>
      </c>
      <c r="E30" s="2">
        <f t="shared" si="11"/>
        <v>95.646448749403675</v>
      </c>
      <c r="F30" s="2">
        <f t="shared" si="11"/>
        <v>92.814905462638976</v>
      </c>
      <c r="G30" s="2">
        <f t="shared" si="11"/>
        <v>90.344112145240018</v>
      </c>
      <c r="H30" s="2">
        <f t="shared" ref="H30" si="12">H$6+H15</f>
        <v>85.68251559504904</v>
      </c>
      <c r="I30" s="2"/>
    </row>
    <row r="31" spans="2:13" x14ac:dyDescent="0.3">
      <c r="C31" s="12">
        <v>0.25</v>
      </c>
      <c r="D31" s="2">
        <f t="shared" ref="D31:G31" si="13">D$6+D16</f>
        <v>101.10222386844282</v>
      </c>
      <c r="E31" s="2">
        <f t="shared" si="13"/>
        <v>100.52224129745443</v>
      </c>
      <c r="F31" s="2">
        <f t="shared" si="13"/>
        <v>99.693683059447565</v>
      </c>
      <c r="G31" s="2">
        <f t="shared" si="13"/>
        <v>99.087797969969628</v>
      </c>
      <c r="H31" s="2">
        <f t="shared" ref="H31" si="14">H$6+H16</f>
        <v>97.170445003332446</v>
      </c>
    </row>
    <row r="32" spans="2:13" x14ac:dyDescent="0.3">
      <c r="C32" s="12">
        <v>0.5</v>
      </c>
      <c r="D32" s="2">
        <f t="shared" ref="D32:G32" si="15">D$6+D17</f>
        <v>103.20410035961503</v>
      </c>
      <c r="E32" s="2">
        <f t="shared" si="15"/>
        <v>103.91135354340801</v>
      </c>
      <c r="F32" s="2">
        <f t="shared" si="15"/>
        <v>104.47504919854943</v>
      </c>
      <c r="G32" s="2">
        <f t="shared" si="15"/>
        <v>105.16544225268395</v>
      </c>
      <c r="H32" s="2">
        <f t="shared" ref="H32" si="16">H$6+H17</f>
        <v>105.15558420984532</v>
      </c>
    </row>
    <row r="33" spans="2:9" x14ac:dyDescent="0.3">
      <c r="C33" s="12">
        <v>0.75</v>
      </c>
      <c r="D33" s="2">
        <f t="shared" ref="D33:G33" si="17">D$6+D18</f>
        <v>105.30597685078723</v>
      </c>
      <c r="E33" s="2">
        <f t="shared" si="17"/>
        <v>107.30046578936158</v>
      </c>
      <c r="F33" s="2">
        <f t="shared" si="17"/>
        <v>109.25641533765128</v>
      </c>
      <c r="G33" s="2">
        <f t="shared" si="17"/>
        <v>111.24308653539826</v>
      </c>
      <c r="H33" s="2">
        <f t="shared" ref="H33" si="18">H$6+H18</f>
        <v>113.1407234163582</v>
      </c>
    </row>
    <row r="34" spans="2:9" x14ac:dyDescent="0.3">
      <c r="C34" s="12">
        <v>0.95</v>
      </c>
      <c r="D34" s="2">
        <f t="shared" ref="D34:G34" si="19">D$6+D19</f>
        <v>108.32987012691477</v>
      </c>
      <c r="E34" s="2">
        <f t="shared" si="19"/>
        <v>112.17625833741234</v>
      </c>
      <c r="F34" s="2">
        <f t="shared" si="19"/>
        <v>116.13519293445985</v>
      </c>
      <c r="G34" s="2">
        <f t="shared" si="19"/>
        <v>119.98677236012787</v>
      </c>
      <c r="H34" s="2">
        <f t="shared" ref="H34" si="20">H$6+H19</f>
        <v>124.62865282464159</v>
      </c>
      <c r="I34" s="2"/>
    </row>
    <row r="35" spans="2:9" x14ac:dyDescent="0.3">
      <c r="C35" s="12"/>
      <c r="D35" s="2"/>
      <c r="E35" s="2"/>
      <c r="F35" s="2"/>
      <c r="G35" s="2"/>
      <c r="H35" s="2"/>
      <c r="I35" s="2"/>
    </row>
    <row r="36" spans="2:9" x14ac:dyDescent="0.3">
      <c r="I36" s="2"/>
    </row>
    <row r="37" spans="2:9" x14ac:dyDescent="0.3">
      <c r="C37" s="3"/>
      <c r="I37" s="2"/>
    </row>
    <row r="38" spans="2:9" x14ac:dyDescent="0.3">
      <c r="B38" s="15"/>
      <c r="I38" s="2"/>
    </row>
    <row r="39" spans="2:9" x14ac:dyDescent="0.3">
      <c r="B39" s="15"/>
      <c r="D39" s="2"/>
      <c r="E39" s="2"/>
      <c r="F39" s="2"/>
      <c r="G39" s="2"/>
      <c r="H39" s="2"/>
      <c r="I39" s="2"/>
    </row>
    <row r="40" spans="2:9" x14ac:dyDescent="0.3">
      <c r="B40" s="15"/>
      <c r="D40" s="2"/>
      <c r="E40" s="2"/>
      <c r="F40" s="2"/>
      <c r="G40" s="2"/>
      <c r="H40" s="2"/>
    </row>
    <row r="41" spans="2:9" x14ac:dyDescent="0.3">
      <c r="B41" s="15"/>
      <c r="D41" s="2"/>
      <c r="E41" s="2"/>
      <c r="F41" s="2"/>
      <c r="G41" s="2"/>
      <c r="H41" s="2"/>
    </row>
    <row r="42" spans="2:9" x14ac:dyDescent="0.3">
      <c r="B42" s="15"/>
      <c r="D42" s="2"/>
      <c r="E42" s="2"/>
      <c r="F42" s="2"/>
      <c r="G42" s="2"/>
      <c r="H42" s="2"/>
    </row>
    <row r="43" spans="2:9" x14ac:dyDescent="0.3">
      <c r="B43" s="15"/>
      <c r="D43" s="2"/>
      <c r="E43" s="2"/>
      <c r="F43" s="2"/>
      <c r="G43" s="2"/>
      <c r="H43" s="2"/>
      <c r="I43" s="2"/>
    </row>
    <row r="44" spans="2:9" x14ac:dyDescent="0.3">
      <c r="B44" s="15"/>
      <c r="I44" s="2"/>
    </row>
    <row r="45" spans="2:9" x14ac:dyDescent="0.3">
      <c r="B45" s="15"/>
      <c r="I45" s="2"/>
    </row>
    <row r="46" spans="2:9" x14ac:dyDescent="0.3">
      <c r="D46" s="2"/>
      <c r="E46" s="2"/>
      <c r="F46" s="2"/>
      <c r="G46" s="2"/>
      <c r="H46" s="2"/>
      <c r="I46" s="2"/>
    </row>
    <row r="47" spans="2:9" x14ac:dyDescent="0.3">
      <c r="D47" s="2"/>
      <c r="E47" s="2"/>
      <c r="F47" s="2"/>
      <c r="G47" s="2"/>
      <c r="H47" s="2"/>
      <c r="I47" s="2"/>
    </row>
    <row r="48" spans="2:9" x14ac:dyDescent="0.3">
      <c r="D48" s="2"/>
      <c r="E48" s="2"/>
      <c r="F48" s="2"/>
      <c r="G48" s="2"/>
      <c r="H48" s="2"/>
    </row>
    <row r="49" spans="4:9" x14ac:dyDescent="0.3">
      <c r="D49" s="2"/>
      <c r="E49" s="2"/>
      <c r="F49" s="2"/>
      <c r="G49" s="2"/>
      <c r="H49" s="2"/>
    </row>
    <row r="50" spans="4:9" x14ac:dyDescent="0.3">
      <c r="D50" s="2"/>
      <c r="E50" s="2"/>
      <c r="F50" s="2"/>
      <c r="G50" s="2"/>
      <c r="H50" s="2"/>
      <c r="I50" s="2"/>
    </row>
    <row r="51" spans="4:9" x14ac:dyDescent="0.3">
      <c r="D51" s="2"/>
      <c r="E51" s="2"/>
      <c r="F51" s="2"/>
      <c r="G51" s="2"/>
      <c r="H51" s="2"/>
      <c r="I51" s="2"/>
    </row>
    <row r="52" spans="4:9" x14ac:dyDescent="0.3">
      <c r="I52" s="2"/>
    </row>
    <row r="53" spans="4:9" x14ac:dyDescent="0.3">
      <c r="I53" s="2"/>
    </row>
    <row r="54" spans="4:9" x14ac:dyDescent="0.3">
      <c r="I54" s="2"/>
    </row>
    <row r="55" spans="4:9" x14ac:dyDescent="0.3">
      <c r="I55" s="2"/>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B6B0942CD5D9A45BDD9F7FD0360DB77" ma:contentTypeVersion="9" ma:contentTypeDescription="Create a new document." ma:contentTypeScope="" ma:versionID="ca2296616f90cd8e0ed0dd253dc5083e">
  <xsd:schema xmlns:xsd="http://www.w3.org/2001/XMLSchema" xmlns:xs="http://www.w3.org/2001/XMLSchema" xmlns:p="http://schemas.microsoft.com/office/2006/metadata/properties" xmlns:ns2="075f0024-1ef3-4388-a12f-6b3dbe873bc5" xmlns:ns3="5f633878-cdf3-4c8f-9aa8-535ead00829d" targetNamespace="http://schemas.microsoft.com/office/2006/metadata/properties" ma:root="true" ma:fieldsID="632b771090366a86c85e786ece4638d2" ns2:_="" ns3:_="">
    <xsd:import namespace="075f0024-1ef3-4388-a12f-6b3dbe873bc5"/>
    <xsd:import namespace="5f633878-cdf3-4c8f-9aa8-535ead00829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75f0024-1ef3-4388-a12f-6b3dbe873bc5"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f633878-cdf3-4c8f-9aa8-535ead00829d" elementFormDefault="qualified">
    <xsd:import namespace="http://schemas.microsoft.com/office/2006/documentManagement/types"/>
    <xsd:import namespace="http://schemas.microsoft.com/office/infopath/2007/PartnerControls"/>
    <xsd:element name="MediaServiceMetadata" ma:index="10" nillable="true" ma:displayName="MediaServiceMetadata" ma:description="" ma:hidden="true" ma:internalName="MediaServiceMetadata" ma:readOnly="true">
      <xsd:simpleType>
        <xsd:restriction base="dms:Note"/>
      </xsd:simpleType>
    </xsd:element>
    <xsd:element name="MediaServiceFastMetadata" ma:index="11" nillable="true" ma:displayName="MediaServiceFastMetadata" ma:description=""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CB47756-F7D5-4192-8F43-BF572D6CE88E}"/>
</file>

<file path=customXml/itemProps2.xml><?xml version="1.0" encoding="utf-8"?>
<ds:datastoreItem xmlns:ds="http://schemas.openxmlformats.org/officeDocument/2006/customXml" ds:itemID="{F9DCC65A-488B-4694-A864-7C264136CF93}"/>
</file>

<file path=customXml/itemProps3.xml><?xml version="1.0" encoding="utf-8"?>
<ds:datastoreItem xmlns:ds="http://schemas.openxmlformats.org/officeDocument/2006/customXml" ds:itemID="{2F81EFDF-0FE1-455D-B6ED-FE92D03FCE5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Controls</vt:lpstr>
      <vt:lpstr>Register</vt:lpstr>
      <vt:lpstr>Inputs</vt:lpstr>
      <vt:lpstr>Calculations</vt:lpstr>
      <vt:lpstr>LAA-ExtraInfo</vt:lpstr>
      <vt:lpstr>Current Run</vt:lpstr>
      <vt:lpstr>Outputs</vt:lpstr>
      <vt:lpstr>Model Output</vt:lpstr>
      <vt:lpstr>Grid_Certainty</vt:lpstr>
      <vt:lpstr>Likelihood</vt:lpstr>
      <vt:lpstr>P_NoOfRuns</vt:lpstr>
      <vt:lpstr>PlusMinus</vt:lpstr>
      <vt:lpstr>'LAA-ExtraInfo'!Print_Area</vt:lpstr>
      <vt:lpstr>Probability</vt:lpstr>
      <vt:lpstr>ProbMax</vt:lpstr>
      <vt:lpstr>ProbMin</vt:lpstr>
    </vt:vector>
  </TitlesOfParts>
  <Company>MOJ</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Cheng, Chun-yee</dc:creator>
  <cp:lastModifiedBy>Taylor, Andrew</cp:lastModifiedBy>
  <cp:lastPrinted>2017-10-09T10:46:45Z</cp:lastPrinted>
  <dcterms:created xsi:type="dcterms:W3CDTF">2017-06-26T13:45:12Z</dcterms:created>
  <dcterms:modified xsi:type="dcterms:W3CDTF">2019-08-02T14:25:22Z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y fmtid="{D5CDD505-2E9C-101B-9397-08002B2CF9AE}" pid="4" name="ContentTypeId">
    <vt:lpwstr>0x010100AB6B0942CD5D9A45BDD9F7FD0360DB77</vt:lpwstr>
  </property>
</Properties>
</file>